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Khanza\Kampus\Matkul\"/>
    </mc:Choice>
  </mc:AlternateContent>
  <xr:revisionPtr revIDLastSave="0" documentId="13_ncr:1_{4EF2361A-427F-4169-BED9-7E2FE9A947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clean" sheetId="3" r:id="rId1"/>
    <sheet name="Copy of cakaran" sheetId="5" state="hidden" r:id="rId2"/>
    <sheet name="Data Inventaris Radio Hytera" sheetId="6" state="hidden" r:id="rId3"/>
  </sheets>
  <calcPr calcId="191029"/>
</workbook>
</file>

<file path=xl/calcChain.xml><?xml version="1.0" encoding="utf-8"?>
<calcChain xmlns="http://schemas.openxmlformats.org/spreadsheetml/2006/main">
  <c r="G29" i="5" l="1"/>
  <c r="F29" i="5"/>
  <c r="E29" i="5"/>
  <c r="D29" i="5"/>
  <c r="C29" i="5"/>
  <c r="G28" i="5"/>
  <c r="F28" i="5"/>
  <c r="E28" i="5"/>
  <c r="D28" i="5"/>
  <c r="C28" i="5"/>
  <c r="G27" i="5"/>
  <c r="F27" i="5"/>
  <c r="E27" i="5"/>
  <c r="D27" i="5"/>
  <c r="C27" i="5"/>
  <c r="G26" i="5"/>
  <c r="F26" i="5"/>
  <c r="E26" i="5"/>
  <c r="D26" i="5"/>
  <c r="C26" i="5"/>
  <c r="G25" i="5"/>
  <c r="F25" i="5"/>
  <c r="E25" i="5"/>
  <c r="D25" i="5"/>
  <c r="C25" i="5"/>
  <c r="G24" i="5"/>
  <c r="F24" i="5"/>
  <c r="E24" i="5"/>
  <c r="D24" i="5"/>
  <c r="C24" i="5"/>
  <c r="G23" i="5"/>
  <c r="F23" i="5"/>
  <c r="E23" i="5"/>
  <c r="D23" i="5"/>
  <c r="C23" i="5"/>
  <c r="G22" i="5"/>
  <c r="F22" i="5"/>
  <c r="E22" i="5"/>
  <c r="D22" i="5"/>
  <c r="C22" i="5"/>
  <c r="G21" i="5"/>
  <c r="F21" i="5"/>
  <c r="E21" i="5"/>
  <c r="D21" i="5"/>
  <c r="C21" i="5"/>
  <c r="G20" i="5"/>
  <c r="F20" i="5"/>
  <c r="E20" i="5"/>
  <c r="D20" i="5"/>
  <c r="C20" i="5"/>
  <c r="G19" i="5"/>
  <c r="F19" i="5"/>
  <c r="E19" i="5"/>
  <c r="D19" i="5"/>
  <c r="C19" i="5"/>
  <c r="G18" i="5"/>
  <c r="F18" i="5"/>
  <c r="E18" i="5"/>
  <c r="D18" i="5"/>
  <c r="C18" i="5"/>
  <c r="G17" i="5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AF13" i="5"/>
  <c r="AE13" i="5"/>
  <c r="G13" i="5"/>
  <c r="F13" i="5"/>
  <c r="E13" i="5"/>
  <c r="D13" i="5"/>
  <c r="C13" i="5"/>
  <c r="AF12" i="5"/>
  <c r="AE12" i="5"/>
  <c r="G12" i="5"/>
  <c r="F12" i="5"/>
  <c r="E12" i="5"/>
  <c r="D12" i="5"/>
  <c r="C12" i="5"/>
  <c r="AF11" i="5"/>
  <c r="AE11" i="5"/>
  <c r="G11" i="5"/>
  <c r="F11" i="5"/>
  <c r="E11" i="5"/>
  <c r="D11" i="5"/>
  <c r="C11" i="5"/>
  <c r="AF10" i="5"/>
  <c r="AE10" i="5"/>
  <c r="G10" i="5"/>
  <c r="F10" i="5"/>
  <c r="E10" i="5"/>
  <c r="D10" i="5"/>
  <c r="C10" i="5"/>
  <c r="AF9" i="5"/>
  <c r="AE9" i="5"/>
  <c r="G9" i="5"/>
  <c r="F9" i="5"/>
  <c r="E9" i="5"/>
  <c r="D9" i="5"/>
  <c r="C9" i="5"/>
  <c r="G8" i="5"/>
  <c r="F8" i="5"/>
  <c r="E8" i="5"/>
  <c r="D8" i="5"/>
  <c r="C8" i="5"/>
  <c r="G7" i="5"/>
  <c r="F7" i="5"/>
  <c r="E7" i="5"/>
  <c r="D7" i="5"/>
  <c r="C7" i="5"/>
  <c r="G6" i="5"/>
  <c r="F6" i="5"/>
  <c r="F31" i="5" s="1"/>
  <c r="E6" i="5"/>
  <c r="D6" i="5"/>
  <c r="D32" i="5" s="1"/>
  <c r="C6" i="5"/>
  <c r="K25" i="5" l="1"/>
  <c r="R25" i="5" s="1"/>
  <c r="K15" i="5"/>
  <c r="R15" i="5" s="1"/>
  <c r="K17" i="5"/>
  <c r="R17" i="5" s="1"/>
  <c r="K19" i="5"/>
  <c r="R19" i="5" s="1"/>
  <c r="K21" i="5"/>
  <c r="R21" i="5" s="1"/>
  <c r="K23" i="5"/>
  <c r="R23" i="5" s="1"/>
  <c r="K28" i="5"/>
  <c r="R28" i="5" s="1"/>
  <c r="K24" i="5"/>
  <c r="R24" i="5" s="1"/>
  <c r="K20" i="5"/>
  <c r="R20" i="5" s="1"/>
  <c r="K16" i="5"/>
  <c r="R16" i="5" s="1"/>
  <c r="K13" i="5"/>
  <c r="R13" i="5" s="1"/>
  <c r="K11" i="5"/>
  <c r="R11" i="5" s="1"/>
  <c r="K9" i="5"/>
  <c r="R9" i="5" s="1"/>
  <c r="K27" i="5"/>
  <c r="R27" i="5" s="1"/>
  <c r="K26" i="5"/>
  <c r="R26" i="5" s="1"/>
  <c r="K22" i="5"/>
  <c r="R22" i="5" s="1"/>
  <c r="K18" i="5"/>
  <c r="R18" i="5" s="1"/>
  <c r="K14" i="5"/>
  <c r="R14" i="5" s="1"/>
  <c r="K12" i="5"/>
  <c r="R12" i="5" s="1"/>
  <c r="K10" i="5"/>
  <c r="R10" i="5" s="1"/>
  <c r="K7" i="5"/>
  <c r="R7" i="5" s="1"/>
  <c r="E31" i="5"/>
  <c r="E32" i="5"/>
  <c r="L15" i="5" s="1"/>
  <c r="S15" i="5" s="1"/>
  <c r="K29" i="5"/>
  <c r="R29" i="5" s="1"/>
  <c r="K6" i="5"/>
  <c r="R6" i="5" s="1"/>
  <c r="K8" i="5"/>
  <c r="R8" i="5" s="1"/>
  <c r="G31" i="5"/>
  <c r="F32" i="5"/>
  <c r="G32" i="5"/>
  <c r="N6" i="5" s="1"/>
  <c r="U6" i="5" s="1"/>
  <c r="C31" i="5"/>
  <c r="D31" i="5"/>
  <c r="C32" i="5"/>
  <c r="J13" i="5" s="1"/>
  <c r="Q13" i="5" s="1"/>
  <c r="L22" i="5" l="1"/>
  <c r="S22" i="5" s="1"/>
  <c r="L20" i="5"/>
  <c r="S20" i="5" s="1"/>
  <c r="L14" i="5"/>
  <c r="S14" i="5" s="1"/>
  <c r="L13" i="5"/>
  <c r="S13" i="5" s="1"/>
  <c r="L16" i="5"/>
  <c r="S16" i="5" s="1"/>
  <c r="L27" i="5"/>
  <c r="S27" i="5" s="1"/>
  <c r="J25" i="5"/>
  <c r="Q25" i="5" s="1"/>
  <c r="L9" i="5"/>
  <c r="S9" i="5" s="1"/>
  <c r="J12" i="5"/>
  <c r="Q12" i="5" s="1"/>
  <c r="J24" i="5"/>
  <c r="Q24" i="5" s="1"/>
  <c r="L11" i="5"/>
  <c r="S11" i="5" s="1"/>
  <c r="L19" i="5"/>
  <c r="S19" i="5" s="1"/>
  <c r="J17" i="5"/>
  <c r="Q17" i="5" s="1"/>
  <c r="J27" i="5"/>
  <c r="Q27" i="5" s="1"/>
  <c r="J11" i="5"/>
  <c r="Q11" i="5" s="1"/>
  <c r="L25" i="5"/>
  <c r="S25" i="5" s="1"/>
  <c r="L6" i="5"/>
  <c r="S6" i="5" s="1"/>
  <c r="L24" i="5"/>
  <c r="S24" i="5" s="1"/>
  <c r="L21" i="5"/>
  <c r="S21" i="5" s="1"/>
  <c r="L10" i="5"/>
  <c r="S10" i="5" s="1"/>
  <c r="J16" i="5"/>
  <c r="Q16" i="5" s="1"/>
  <c r="L18" i="5"/>
  <c r="S18" i="5" s="1"/>
  <c r="L26" i="5"/>
  <c r="S26" i="5" s="1"/>
  <c r="L8" i="5"/>
  <c r="S8" i="5" s="1"/>
  <c r="L29" i="5"/>
  <c r="S29" i="5" s="1"/>
  <c r="L17" i="5"/>
  <c r="S17" i="5" s="1"/>
  <c r="L7" i="5"/>
  <c r="S7" i="5" s="1"/>
  <c r="J9" i="5"/>
  <c r="Q9" i="5" s="1"/>
  <c r="U32" i="5"/>
  <c r="U31" i="5"/>
  <c r="N22" i="5"/>
  <c r="U22" i="5" s="1"/>
  <c r="N14" i="5"/>
  <c r="U14" i="5" s="1"/>
  <c r="N26" i="5"/>
  <c r="U26" i="5" s="1"/>
  <c r="J29" i="5"/>
  <c r="Q29" i="5" s="1"/>
  <c r="J18" i="5"/>
  <c r="Q18" i="5" s="1"/>
  <c r="L12" i="5"/>
  <c r="S12" i="5" s="1"/>
  <c r="L28" i="5"/>
  <c r="S28" i="5" s="1"/>
  <c r="N20" i="5"/>
  <c r="U20" i="5" s="1"/>
  <c r="N19" i="5"/>
  <c r="U19" i="5" s="1"/>
  <c r="N10" i="5"/>
  <c r="U10" i="5" s="1"/>
  <c r="N27" i="5"/>
  <c r="U27" i="5" s="1"/>
  <c r="J23" i="5"/>
  <c r="Q23" i="5" s="1"/>
  <c r="J15" i="5"/>
  <c r="Q15" i="5" s="1"/>
  <c r="J26" i="5"/>
  <c r="Q26" i="5" s="1"/>
  <c r="J8" i="5"/>
  <c r="Q8" i="5" s="1"/>
  <c r="N28" i="5"/>
  <c r="U28" i="5" s="1"/>
  <c r="N9" i="5"/>
  <c r="U9" i="5" s="1"/>
  <c r="J22" i="5"/>
  <c r="Q22" i="5" s="1"/>
  <c r="J14" i="5"/>
  <c r="Q14" i="5" s="1"/>
  <c r="S32" i="5"/>
  <c r="S31" i="5"/>
  <c r="J7" i="5"/>
  <c r="Q7" i="5" s="1"/>
  <c r="N13" i="5"/>
  <c r="U13" i="5" s="1"/>
  <c r="N18" i="5"/>
  <c r="U18" i="5" s="1"/>
  <c r="N8" i="5"/>
  <c r="U8" i="5" s="1"/>
  <c r="J6" i="5"/>
  <c r="Q6" i="5" s="1"/>
  <c r="M27" i="5"/>
  <c r="T27" i="5" s="1"/>
  <c r="M23" i="5"/>
  <c r="T23" i="5" s="1"/>
  <c r="M19" i="5"/>
  <c r="T19" i="5" s="1"/>
  <c r="M15" i="5"/>
  <c r="T15" i="5" s="1"/>
  <c r="M8" i="5"/>
  <c r="T8" i="5" s="1"/>
  <c r="M26" i="5"/>
  <c r="T26" i="5" s="1"/>
  <c r="M25" i="5"/>
  <c r="T25" i="5" s="1"/>
  <c r="M21" i="5"/>
  <c r="T21" i="5" s="1"/>
  <c r="M17" i="5"/>
  <c r="T17" i="5" s="1"/>
  <c r="M6" i="5"/>
  <c r="T6" i="5" s="1"/>
  <c r="T32" i="5" s="1"/>
  <c r="M13" i="5"/>
  <c r="T13" i="5" s="1"/>
  <c r="M9" i="5"/>
  <c r="T9" i="5" s="1"/>
  <c r="M7" i="5"/>
  <c r="T7" i="5" s="1"/>
  <c r="M12" i="5"/>
  <c r="T12" i="5" s="1"/>
  <c r="M11" i="5"/>
  <c r="T11" i="5" s="1"/>
  <c r="M24" i="5"/>
  <c r="T24" i="5" s="1"/>
  <c r="M22" i="5"/>
  <c r="T22" i="5" s="1"/>
  <c r="M20" i="5"/>
  <c r="T20" i="5" s="1"/>
  <c r="M18" i="5"/>
  <c r="T18" i="5" s="1"/>
  <c r="M16" i="5"/>
  <c r="T16" i="5" s="1"/>
  <c r="M14" i="5"/>
  <c r="T14" i="5" s="1"/>
  <c r="M10" i="5"/>
  <c r="T10" i="5" s="1"/>
  <c r="N29" i="5"/>
  <c r="U29" i="5" s="1"/>
  <c r="N25" i="5"/>
  <c r="U25" i="5" s="1"/>
  <c r="N17" i="5"/>
  <c r="U17" i="5" s="1"/>
  <c r="J21" i="5"/>
  <c r="Q21" i="5" s="1"/>
  <c r="N24" i="5"/>
  <c r="U24" i="5" s="1"/>
  <c r="M29" i="5"/>
  <c r="T29" i="5" s="1"/>
  <c r="N12" i="5"/>
  <c r="U12" i="5" s="1"/>
  <c r="N21" i="5"/>
  <c r="U21" i="5" s="1"/>
  <c r="N11" i="5"/>
  <c r="U11" i="5" s="1"/>
  <c r="R32" i="5"/>
  <c r="R31" i="5"/>
  <c r="N16" i="5"/>
  <c r="U16" i="5" s="1"/>
  <c r="N7" i="5"/>
  <c r="U7" i="5" s="1"/>
  <c r="J20" i="5"/>
  <c r="Q20" i="5" s="1"/>
  <c r="M28" i="5"/>
  <c r="T28" i="5" s="1"/>
  <c r="N23" i="5"/>
  <c r="U23" i="5" s="1"/>
  <c r="N15" i="5"/>
  <c r="U15" i="5" s="1"/>
  <c r="J28" i="5"/>
  <c r="Q28" i="5" s="1"/>
  <c r="L23" i="5"/>
  <c r="S23" i="5" s="1"/>
  <c r="J19" i="5"/>
  <c r="Q19" i="5" s="1"/>
  <c r="J10" i="5"/>
  <c r="Q10" i="5" s="1"/>
  <c r="T31" i="5" l="1"/>
  <c r="Q32" i="5"/>
  <c r="Y8" i="5" s="1"/>
  <c r="Y6" i="5"/>
  <c r="Q31" i="5"/>
  <c r="X22" i="5" s="1"/>
  <c r="Y15" i="5"/>
  <c r="Y18" i="5"/>
  <c r="Y14" i="5"/>
  <c r="Y23" i="5" l="1"/>
  <c r="Y19" i="5"/>
  <c r="Y26" i="5"/>
  <c r="Y29" i="5"/>
  <c r="X23" i="5"/>
  <c r="X19" i="5"/>
  <c r="Y10" i="5"/>
  <c r="X21" i="5"/>
  <c r="Y28" i="5"/>
  <c r="Y21" i="5"/>
  <c r="X28" i="5"/>
  <c r="Y22" i="5"/>
  <c r="AB22" i="5" s="1"/>
  <c r="X6" i="5"/>
  <c r="X10" i="5"/>
  <c r="AB19" i="5"/>
  <c r="X11" i="5"/>
  <c r="X27" i="5"/>
  <c r="X13" i="5"/>
  <c r="X24" i="5"/>
  <c r="X12" i="5"/>
  <c r="X25" i="5"/>
  <c r="X16" i="5"/>
  <c r="X9" i="5"/>
  <c r="X17" i="5"/>
  <c r="X8" i="5"/>
  <c r="AB8" i="5" s="1"/>
  <c r="AB23" i="5"/>
  <c r="X14" i="5"/>
  <c r="AB14" i="5" s="1"/>
  <c r="Y27" i="5"/>
  <c r="Y11" i="5"/>
  <c r="Y16" i="5"/>
  <c r="Y13" i="5"/>
  <c r="Y24" i="5"/>
  <c r="Y12" i="5"/>
  <c r="Y25" i="5"/>
  <c r="Y9" i="5"/>
  <c r="Y17" i="5"/>
  <c r="Y7" i="5"/>
  <c r="Y20" i="5"/>
  <c r="AB6" i="5"/>
  <c r="X18" i="5"/>
  <c r="AB18" i="5" s="1"/>
  <c r="X29" i="5"/>
  <c r="AB29" i="5" s="1"/>
  <c r="X15" i="5"/>
  <c r="AB15" i="5" s="1"/>
  <c r="X26" i="5"/>
  <c r="X7" i="5"/>
  <c r="X20" i="5"/>
  <c r="AB10" i="5" l="1"/>
  <c r="AB9" i="5"/>
  <c r="AB12" i="5"/>
  <c r="AB21" i="5"/>
  <c r="AB28" i="5"/>
  <c r="AB26" i="5"/>
  <c r="AB13" i="5"/>
  <c r="AB24" i="5"/>
  <c r="AB11" i="5"/>
  <c r="AB17" i="5"/>
  <c r="AB27" i="5"/>
  <c r="AB16" i="5"/>
  <c r="AB20" i="5"/>
  <c r="AB25" i="5"/>
  <c r="AB7" i="5"/>
</calcChain>
</file>

<file path=xl/sharedStrings.xml><?xml version="1.0" encoding="utf-8"?>
<sst xmlns="http://schemas.openxmlformats.org/spreadsheetml/2006/main" count="261" uniqueCount="226">
  <si>
    <t>Karbohidrat</t>
  </si>
  <si>
    <t>Lemak</t>
  </si>
  <si>
    <t>Protein</t>
  </si>
  <si>
    <t>Serat</t>
  </si>
  <si>
    <t>Natrium</t>
  </si>
  <si>
    <t>(g)</t>
  </si>
  <si>
    <t>(mg)</t>
  </si>
  <si>
    <t>-</t>
  </si>
  <si>
    <t>Nama Bahan Makanan</t>
  </si>
  <si>
    <r>
      <rPr>
        <b/>
        <sz val="10"/>
        <color rgb="FF000000"/>
        <rFont val="Sans-serif"/>
      </rPr>
      <t>Natrium</t>
    </r>
    <r>
      <rPr>
        <b/>
        <sz val="10"/>
        <color theme="1"/>
        <rFont val="Sans-serif"/>
      </rPr>
      <t xml:space="preserve">
(Na</t>
    </r>
    <r>
      <rPr>
        <b/>
        <sz val="10"/>
        <color theme="1"/>
        <rFont val="Sans-serif"/>
      </rPr>
      <t xml:space="preserve">)  </t>
    </r>
    <r>
      <rPr>
        <b/>
        <sz val="10"/>
        <color rgb="FF000000"/>
        <rFont val="Sans-serif"/>
      </rPr>
      <t>⇲</t>
    </r>
  </si>
  <si>
    <r>
      <rPr>
        <b/>
        <sz val="10"/>
        <color rgb="FF000000"/>
        <rFont val="Sans-serif"/>
      </rPr>
      <t>Nas</t>
    </r>
    <r>
      <rPr>
        <sz val="10"/>
        <color rgb="FF000000"/>
        <rFont val="Sans-serif"/>
      </rPr>
      <t>i</t>
    </r>
  </si>
  <si>
    <r>
      <rPr>
        <b/>
        <sz val="10"/>
        <color rgb="FF000000"/>
        <rFont val="Sans-serif"/>
      </rPr>
      <t>Biskui</t>
    </r>
    <r>
      <rPr>
        <sz val="10"/>
        <color rgb="FF000000"/>
        <rFont val="Sans-serif"/>
      </rPr>
      <t>t</t>
    </r>
  </si>
  <si>
    <r>
      <rPr>
        <b/>
        <u/>
        <sz val="10"/>
        <color rgb="FF000000"/>
        <rFont val="sans-serif"/>
      </rPr>
      <t>Bubur tinotuan (Manado)</t>
    </r>
  </si>
  <si>
    <r>
      <rPr>
        <b/>
        <sz val="10"/>
        <color rgb="FF000000"/>
        <rFont val="Sans-serif"/>
      </rPr>
      <t>Mie baks</t>
    </r>
    <r>
      <rPr>
        <sz val="10"/>
        <color rgb="FF000000"/>
        <rFont val="Sans-serif"/>
      </rPr>
      <t>o</t>
    </r>
  </si>
  <si>
    <r>
      <rPr>
        <b/>
        <u/>
        <sz val="10"/>
        <color rgb="FF000000"/>
        <rFont val="sans-serif"/>
      </rPr>
      <t>Beras giling, mentah</t>
    </r>
  </si>
  <si>
    <r>
      <rPr>
        <b/>
        <sz val="10"/>
        <color rgb="FF000000"/>
        <rFont val="Sans-serif"/>
      </rPr>
      <t>Beras jagung kuning, kering, menta</t>
    </r>
    <r>
      <rPr>
        <sz val="10"/>
        <color rgb="FF000000"/>
        <rFont val="Sans-serif"/>
      </rPr>
      <t>h</t>
    </r>
  </si>
  <si>
    <r>
      <rPr>
        <b/>
        <u/>
        <sz val="10"/>
        <color rgb="FF000000"/>
        <rFont val="sans-serif"/>
      </rPr>
      <t>Batatas kelapa, ubi, bakar</t>
    </r>
  </si>
  <si>
    <r>
      <rPr>
        <b/>
        <u/>
        <sz val="10"/>
        <color rgb="FF000000"/>
        <rFont val="sans-serif"/>
      </rPr>
      <t>Batatas kelapa, ubi, kukus</t>
    </r>
  </si>
  <si>
    <r>
      <rPr>
        <b/>
        <u/>
        <sz val="10"/>
        <color rgb="FF000000"/>
        <rFont val="sans-serif"/>
      </rPr>
      <t>Batatas tali, ubi, rebus</t>
    </r>
  </si>
  <si>
    <r>
      <rPr>
        <b/>
        <u/>
        <sz val="10"/>
        <color rgb="FF000000"/>
        <rFont val="sans-serif"/>
      </rPr>
      <t>Belitung, talas, kukus</t>
    </r>
  </si>
  <si>
    <r>
      <rPr>
        <b/>
        <u/>
        <sz val="10"/>
        <color rgb="FF000000"/>
        <rFont val="sans-serif"/>
      </rPr>
      <t>Ketela pohon/singkong kukus</t>
    </r>
  </si>
  <si>
    <r>
      <rPr>
        <b/>
        <u/>
        <sz val="10"/>
        <color rgb="FF000000"/>
        <rFont val="sans-serif"/>
      </rPr>
      <t>Ubi jalar, kuning, kukus</t>
    </r>
  </si>
  <si>
    <r>
      <rPr>
        <b/>
        <u/>
        <sz val="10"/>
        <color rgb="FF000000"/>
        <rFont val="sans-serif"/>
      </rPr>
      <t>Ubi jalar tinta/ kemayung kukus</t>
    </r>
  </si>
  <si>
    <r>
      <rPr>
        <b/>
        <u/>
        <sz val="10"/>
        <color rgb="FF000000"/>
        <rFont val="sans-serif"/>
      </rPr>
      <t>Ubi jalar merah, segar</t>
    </r>
  </si>
  <si>
    <r>
      <rPr>
        <b/>
        <u/>
        <sz val="10"/>
        <color rgb="FF000000"/>
        <rFont val="sans-serif"/>
      </rPr>
      <t>Ubi jalar putih, segar</t>
    </r>
  </si>
  <si>
    <r>
      <rPr>
        <b/>
        <u/>
        <sz val="10"/>
        <color rgb="FF000000"/>
        <rFont val="sans-serif"/>
      </rPr>
      <t>Keripik kentang</t>
    </r>
  </si>
  <si>
    <r>
      <rPr>
        <b/>
        <sz val="10"/>
        <color rgb="FF000000"/>
        <rFont val="Sans-serif"/>
      </rPr>
      <t>Keripik ub</t>
    </r>
    <r>
      <rPr>
        <sz val="10"/>
        <color rgb="FF000000"/>
        <rFont val="Sans-serif"/>
      </rPr>
      <t>i</t>
    </r>
  </si>
  <si>
    <r>
      <rPr>
        <b/>
        <u/>
        <sz val="10"/>
        <color rgb="FF000000"/>
        <rFont val="sans-serif"/>
      </rPr>
      <t>Kerupuk cumi goreng</t>
    </r>
  </si>
  <si>
    <r>
      <rPr>
        <b/>
        <u/>
        <sz val="10"/>
        <color rgb="FF000000"/>
        <rFont val="sans-serif"/>
      </rPr>
      <t>Kerupuk udang goreng</t>
    </r>
  </si>
  <si>
    <r>
      <rPr>
        <b/>
        <u/>
        <sz val="10"/>
        <color rgb="FF000000"/>
        <rFont val="sans-serif"/>
      </rPr>
      <t>Kue putu singkong</t>
    </r>
  </si>
  <si>
    <r>
      <rPr>
        <b/>
        <u/>
        <sz val="10"/>
        <color rgb="FF000000"/>
        <rFont val="sans-serif"/>
      </rPr>
      <t>Papeda</t>
    </r>
  </si>
  <si>
    <r>
      <rPr>
        <b/>
        <sz val="10"/>
        <color rgb="FF000000"/>
        <rFont val="Sans-serif"/>
      </rPr>
      <t>Kacang hijau, rebu</t>
    </r>
    <r>
      <rPr>
        <sz val="10"/>
        <color rgb="FF000000"/>
        <rFont val="Sans-serif"/>
      </rPr>
      <t>s</t>
    </r>
  </si>
  <si>
    <r>
      <rPr>
        <b/>
        <u/>
        <sz val="10"/>
        <color rgb="FF000000"/>
        <rFont val="sans-serif"/>
      </rPr>
      <t>Kacang kedelai, goreng</t>
    </r>
  </si>
  <si>
    <r>
      <rPr>
        <b/>
        <u/>
        <sz val="10"/>
        <color rgb="FF000000"/>
        <rFont val="sans-serif"/>
      </rPr>
      <t>Kacang kedelai, rebus</t>
    </r>
  </si>
  <si>
    <r>
      <rPr>
        <b/>
        <u/>
        <sz val="10"/>
        <color rgb="FF000000"/>
        <rFont val="sans-serif"/>
      </rPr>
      <t>Kacang merah kering, rebus</t>
    </r>
  </si>
  <si>
    <r>
      <rPr>
        <b/>
        <sz val="10"/>
        <color rgb="FF000000"/>
        <rFont val="Sans-serif"/>
      </rPr>
      <t>Kacang merah segar, rebu</t>
    </r>
    <r>
      <rPr>
        <sz val="10"/>
        <color rgb="FF000000"/>
        <rFont val="Sans-serif"/>
      </rPr>
      <t>s</t>
    </r>
  </si>
  <si>
    <r>
      <rPr>
        <b/>
        <u/>
        <sz val="10"/>
        <color rgb="FF000000"/>
        <rFont val="sans-serif"/>
      </rPr>
      <t>Kacang mete/biji jambu monyet, goreng</t>
    </r>
  </si>
  <si>
    <r>
      <rPr>
        <b/>
        <u/>
        <sz val="10"/>
        <color rgb="FF000000"/>
        <rFont val="sans-serif"/>
      </rPr>
      <t>Kacang tanah rebus dg kulit</t>
    </r>
  </si>
  <si>
    <r>
      <rPr>
        <b/>
        <u/>
        <sz val="10"/>
        <color rgb="FF000000"/>
        <rFont val="sans-serif"/>
      </rPr>
      <t>Dodol banjarmasin</t>
    </r>
  </si>
  <si>
    <r>
      <rPr>
        <b/>
        <u/>
        <sz val="10"/>
        <color rgb="FF000000"/>
        <rFont val="sans-serif"/>
      </rPr>
      <t>Emping komak</t>
    </r>
  </si>
  <si>
    <r>
      <rPr>
        <b/>
        <u/>
        <sz val="10"/>
        <color rgb="FF000000"/>
        <rFont val="sans-serif"/>
      </rPr>
      <t>Keju kacang tanah (peanut butter)</t>
    </r>
  </si>
  <si>
    <r>
      <rPr>
        <b/>
        <u/>
        <sz val="10"/>
        <color rgb="FF000000"/>
        <rFont val="sans-serif"/>
      </rPr>
      <t>Kwaci</t>
    </r>
  </si>
  <si>
    <r>
      <rPr>
        <b/>
        <u/>
        <sz val="10"/>
        <color rgb="FF000000"/>
        <rFont val="sans-serif"/>
      </rPr>
      <t>Moon tahu</t>
    </r>
  </si>
  <si>
    <r>
      <rPr>
        <b/>
        <sz val="10"/>
        <color rgb="FF000000"/>
        <rFont val="Sans-serif"/>
      </rPr>
      <t>Sayur lebu</t>
    </r>
    <r>
      <rPr>
        <sz val="10"/>
        <color rgb="FF000000"/>
        <rFont val="Sans-serif"/>
      </rPr>
      <t>i</t>
    </r>
  </si>
  <si>
    <r>
      <rPr>
        <b/>
        <u/>
        <sz val="10"/>
        <color rgb="FF000000"/>
        <rFont val="sans-serif"/>
      </rPr>
      <t>Susu kedelai</t>
    </r>
  </si>
  <si>
    <r>
      <rPr>
        <b/>
        <u/>
        <sz val="10"/>
        <color rgb="FF000000"/>
        <rFont val="sans-serif"/>
      </rPr>
      <t>Tahu goreng</t>
    </r>
  </si>
  <si>
    <r>
      <rPr>
        <b/>
        <sz val="10"/>
        <color rgb="FF000000"/>
        <rFont val="Sans-serif"/>
      </rPr>
      <t>Tahu telu</t>
    </r>
    <r>
      <rPr>
        <sz val="10"/>
        <color rgb="FF000000"/>
        <rFont val="Sans-serif"/>
      </rPr>
      <t>r</t>
    </r>
  </si>
  <si>
    <r>
      <rPr>
        <b/>
        <u/>
        <sz val="10"/>
        <color rgb="FF000000"/>
        <rFont val="sans-serif"/>
      </rPr>
      <t>Tempe pasar goreng</t>
    </r>
  </si>
  <si>
    <r>
      <rPr>
        <b/>
        <u/>
        <sz val="10"/>
        <color rgb="FF000000"/>
        <rFont val="sans-serif"/>
      </rPr>
      <t>Nasi dan campuran bihun, rasa daging sapi, disiapkan dengan 80% margarin</t>
    </r>
  </si>
  <si>
    <r>
      <rPr>
        <b/>
        <u/>
        <sz val="10"/>
        <color rgb="FF000000"/>
        <rFont val="sans-serif"/>
      </rPr>
      <t>Salad kentang dengan telur</t>
    </r>
  </si>
  <si>
    <r>
      <rPr>
        <b/>
        <u/>
        <sz val="10"/>
        <color rgb="FF000000"/>
        <rFont val="sans-serif"/>
      </rPr>
      <t>Spaghettios, Spageti dengan Bakso</t>
    </r>
  </si>
  <si>
    <r>
      <rPr>
        <b/>
        <sz val="10"/>
        <color rgb="FF000000"/>
        <rFont val="Sans-serif"/>
      </rPr>
      <t>Apel, beku, tanpa pemanis, tidak dipanaska</t>
    </r>
    <r>
      <rPr>
        <sz val="10"/>
        <color rgb="FF000000"/>
        <rFont val="Sans-serif"/>
      </rPr>
      <t>n</t>
    </r>
  </si>
  <si>
    <r>
      <rPr>
        <b/>
        <u/>
        <sz val="10"/>
        <color rgb="FF000000"/>
        <rFont val="sans-serif"/>
      </rPr>
      <t>Apel, mentah, dengan kulit</t>
    </r>
  </si>
  <si>
    <r>
      <rPr>
        <b/>
        <u/>
        <sz val="10"/>
        <color rgb="FF000000"/>
        <rFont val="sans-serif"/>
      </rPr>
      <t>Alpukat, mentah, semua varietas komersial</t>
    </r>
  </si>
  <si>
    <r>
      <rPr>
        <b/>
        <u/>
        <sz val="10"/>
        <color rgb="FF000000"/>
        <rFont val="sans-serif"/>
      </rPr>
      <t>Buah delima, mentah</t>
    </r>
  </si>
  <si>
    <r>
      <rPr>
        <b/>
        <sz val="10"/>
        <color rgb="FF000000"/>
        <rFont val="Sans-serif"/>
      </rPr>
      <t>Jambu biji, umum, menta</t>
    </r>
    <r>
      <rPr>
        <sz val="10"/>
        <color rgb="FF000000"/>
        <rFont val="Sans-serif"/>
      </rPr>
      <t>h</t>
    </r>
  </si>
  <si>
    <r>
      <rPr>
        <b/>
        <u/>
        <sz val="10"/>
        <color rgb="FF000000"/>
        <rFont val="sans-serif"/>
      </rPr>
      <t>Pepaya, mentah</t>
    </r>
  </si>
  <si>
    <r>
      <rPr>
        <b/>
        <u/>
        <sz val="10"/>
        <color rgb="FF000000"/>
        <rFont val="sans-serif"/>
      </rPr>
      <t>Pir, mentah</t>
    </r>
  </si>
  <si>
    <r>
      <rPr>
        <b/>
        <sz val="10"/>
        <color rgb="FF000000"/>
        <rFont val="Sans-serif"/>
      </rPr>
      <t>Pisang, menta</t>
    </r>
    <r>
      <rPr>
        <sz val="10"/>
        <color rgb="FF000000"/>
        <rFont val="Sans-serif"/>
      </rPr>
      <t>h</t>
    </r>
  </si>
  <si>
    <r>
      <rPr>
        <b/>
        <u/>
        <sz val="10"/>
        <color rgb="FF000000"/>
        <rFont val="sans-serif"/>
      </rPr>
      <t>Salad buah, (nanas dan pepaya dan pisang dan jambu biji), tropis, kalengan, sirup berat, padatan dan cairan</t>
    </r>
  </si>
  <si>
    <r>
      <rPr>
        <b/>
        <u/>
        <sz val="10"/>
        <color rgb="FF000000"/>
        <rFont val="sans-serif"/>
      </rPr>
      <t>Bayam spinacia, beku, cincang atau daun, dimasak, direbus, tiriskan, dengan garam</t>
    </r>
  </si>
  <si>
    <r>
      <rPr>
        <b/>
        <u/>
        <sz val="10"/>
        <color rgb="FF000000"/>
        <rFont val="sans-serif"/>
      </rPr>
      <t>Bayam spinacia, beku, cincang atau daun, dimasak, direbus, tiriskan, tanpa garam</t>
    </r>
  </si>
  <si>
    <t>Konversi Sub-Kriteria → Nilai Numerik</t>
  </si>
  <si>
    <t>Jarak Dengan Solusi Ideal [Di]</t>
  </si>
  <si>
    <t>Nilai Preferensi Untuk Setiap Alternatif  [V]</t>
  </si>
  <si>
    <t>Di+</t>
  </si>
  <si>
    <t>Di-</t>
  </si>
  <si>
    <t>Vn</t>
  </si>
  <si>
    <t>RANK</t>
  </si>
  <si>
    <t>x^2</t>
  </si>
  <si>
    <t>A+</t>
  </si>
  <si>
    <t>A-</t>
  </si>
  <si>
    <t>Matrik Ternormalisasi [R]</t>
  </si>
  <si>
    <t>Matrik Ternormalisasi Terbobot [Y]</t>
  </si>
  <si>
    <r>
      <rPr>
        <b/>
        <u/>
        <sz val="10"/>
        <color rgb="FF1155CC"/>
        <rFont val="Arial"/>
      </rPr>
      <t>Nama Bahan Makanan</t>
    </r>
  </si>
  <si>
    <r>
      <rPr>
        <b/>
        <u/>
        <sz val="10"/>
        <color rgb="FF1155CC"/>
        <rFont val="Arial"/>
      </rPr>
      <t>Nama Bahan Makanan</t>
    </r>
  </si>
  <si>
    <r>
      <rPr>
        <b/>
        <u/>
        <sz val="10"/>
        <color rgb="FF1155CC"/>
        <rFont val="Arial"/>
      </rPr>
      <t>Nama Bahan Makanan</t>
    </r>
  </si>
  <si>
    <r>
      <rPr>
        <b/>
        <u/>
        <sz val="10"/>
        <color rgb="FF1155CC"/>
        <rFont val="Arial"/>
      </rPr>
      <t>Protein</t>
    </r>
    <r>
      <rPr>
        <b/>
        <sz val="10"/>
        <color rgb="FF1F1F1F"/>
        <rFont val="Arial"/>
      </rPr>
      <t xml:space="preserve"> / W=0,2</t>
    </r>
  </si>
  <si>
    <r>
      <rPr>
        <b/>
        <u/>
        <sz val="10"/>
        <color rgb="FF1155CC"/>
        <rFont val="Arial"/>
      </rPr>
      <t>Lemak</t>
    </r>
    <r>
      <rPr>
        <b/>
        <sz val="10"/>
        <color rgb="FF1F1F1F"/>
        <rFont val="Arial"/>
      </rPr>
      <t xml:space="preserve"> / W=0,15</t>
    </r>
  </si>
  <si>
    <r>
      <rPr>
        <b/>
        <u/>
        <sz val="10"/>
        <color rgb="FF1155CC"/>
        <rFont val="Arial"/>
      </rPr>
      <t>Karbohidrat</t>
    </r>
    <r>
      <rPr>
        <b/>
        <sz val="10"/>
        <color rgb="FF1F1F1F"/>
        <rFont val="Arial"/>
      </rPr>
      <t xml:space="preserve"> / W=0,1</t>
    </r>
  </si>
  <si>
    <r>
      <rPr>
        <b/>
        <u/>
        <sz val="10"/>
        <color rgb="FF1155CC"/>
        <rFont val="Arial"/>
      </rPr>
      <t>Serat</t>
    </r>
    <r>
      <rPr>
        <b/>
        <sz val="10"/>
        <color rgb="FF1F1F1F"/>
        <rFont val="Arial"/>
      </rPr>
      <t xml:space="preserve"> / W=0,25</t>
    </r>
  </si>
  <si>
    <r>
      <rPr>
        <b/>
        <u/>
        <sz val="10"/>
        <color rgb="FF1155CC"/>
        <rFont val="Arial"/>
      </rPr>
      <t>Natrium</t>
    </r>
    <r>
      <rPr>
        <b/>
        <sz val="10"/>
        <color rgb="FF1F1F1F"/>
        <rFont val="Arial"/>
      </rPr>
      <t xml:space="preserve"> / W=0,3</t>
    </r>
  </si>
  <si>
    <r>
      <rPr>
        <b/>
        <u/>
        <sz val="10"/>
        <color rgb="FF1155CC"/>
        <rFont val="Arial"/>
      </rPr>
      <t>Nama Bahan Makanan</t>
    </r>
  </si>
  <si>
    <r>
      <rPr>
        <b/>
        <u/>
        <sz val="10"/>
        <color rgb="FF1155CC"/>
        <rFont val="Arial"/>
      </rPr>
      <t>Nama Bahan Makanan</t>
    </r>
  </si>
  <si>
    <r>
      <rPr>
        <b/>
        <u/>
        <sz val="10"/>
        <color rgb="FF1155CC"/>
        <rFont val="Sans-serif"/>
      </rPr>
      <t>Nas</t>
    </r>
    <r>
      <rPr>
        <sz val="10"/>
        <rFont val="sans-serif"/>
      </rPr>
      <t>i</t>
    </r>
  </si>
  <si>
    <r>
      <rPr>
        <b/>
        <u/>
        <sz val="10"/>
        <color rgb="FF1155CC"/>
        <rFont val="Sans-serif"/>
      </rPr>
      <t>Nas</t>
    </r>
    <r>
      <rPr>
        <sz val="10"/>
        <rFont val="sans-serif"/>
      </rPr>
      <t>i</t>
    </r>
  </si>
  <si>
    <r>
      <rPr>
        <b/>
        <u/>
        <sz val="10"/>
        <color rgb="FF1155CC"/>
        <rFont val="Sans-serif"/>
      </rPr>
      <t>Nas</t>
    </r>
    <r>
      <rPr>
        <u/>
        <sz val="10"/>
        <color rgb="FF1155CC"/>
        <rFont val="Sans-serif"/>
      </rPr>
      <t>i</t>
    </r>
  </si>
  <si>
    <r>
      <rPr>
        <b/>
        <u/>
        <sz val="10"/>
        <color rgb="FF1155CC"/>
        <rFont val="Sans-serif"/>
      </rPr>
      <t>Nas</t>
    </r>
    <r>
      <rPr>
        <sz val="10"/>
        <rFont val="sans-serif"/>
      </rPr>
      <t>i</t>
    </r>
  </si>
  <si>
    <r>
      <rPr>
        <b/>
        <u/>
        <sz val="10"/>
        <color rgb="FF1155CC"/>
        <rFont val="Sans-serif"/>
      </rPr>
      <t>Nas</t>
    </r>
    <r>
      <rPr>
        <u/>
        <sz val="10"/>
        <color rgb="FF1155CC"/>
        <rFont val="Sans-serif"/>
      </rPr>
      <t>i</t>
    </r>
  </si>
  <si>
    <r>
      <rPr>
        <b/>
        <u/>
        <sz val="10"/>
        <color rgb="FF1155CC"/>
        <rFont val="Sans-serif"/>
      </rPr>
      <t>Biskui</t>
    </r>
    <r>
      <rPr>
        <sz val="10"/>
        <rFont val="sans-serif"/>
      </rPr>
      <t>t</t>
    </r>
  </si>
  <si>
    <r>
      <rPr>
        <b/>
        <u/>
        <sz val="10"/>
        <color rgb="FF1155CC"/>
        <rFont val="Sans-serif"/>
      </rPr>
      <t>Biskui</t>
    </r>
    <r>
      <rPr>
        <sz val="10"/>
        <rFont val="sans-serif"/>
      </rPr>
      <t>t</t>
    </r>
  </si>
  <si>
    <r>
      <rPr>
        <b/>
        <u/>
        <sz val="10"/>
        <color rgb="FF1155CC"/>
        <rFont val="Sans-serif"/>
      </rPr>
      <t>Biskui</t>
    </r>
    <r>
      <rPr>
        <u/>
        <sz val="10"/>
        <color rgb="FF1155CC"/>
        <rFont val="Sans-serif"/>
      </rPr>
      <t>t</t>
    </r>
  </si>
  <si>
    <r>
      <rPr>
        <b/>
        <u/>
        <sz val="10"/>
        <color rgb="FF1155CC"/>
        <rFont val="Sans-serif"/>
      </rPr>
      <t>Biskui</t>
    </r>
    <r>
      <rPr>
        <sz val="10"/>
        <rFont val="sans-serif"/>
      </rPr>
      <t>t</t>
    </r>
  </si>
  <si>
    <r>
      <rPr>
        <b/>
        <u/>
        <sz val="10"/>
        <color rgb="FF1155CC"/>
        <rFont val="Sans-serif"/>
      </rPr>
      <t>Biskui</t>
    </r>
    <r>
      <rPr>
        <u/>
        <sz val="10"/>
        <color rgb="FF1155CC"/>
        <rFont val="Sans-serif"/>
      </rPr>
      <t>t</t>
    </r>
  </si>
  <si>
    <r>
      <rPr>
        <b/>
        <u/>
        <sz val="10"/>
        <color rgb="FF1155CC"/>
        <rFont val="Sans-serif"/>
      </rPr>
      <t>Bubur tinotuan (Manado)</t>
    </r>
  </si>
  <si>
    <r>
      <rPr>
        <b/>
        <u/>
        <sz val="10"/>
        <color rgb="FF1155CC"/>
        <rFont val="Sans-serif"/>
      </rPr>
      <t>Bubur tinotuan (Manado)</t>
    </r>
  </si>
  <si>
    <r>
      <rPr>
        <b/>
        <u/>
        <sz val="10"/>
        <color rgb="FF1155CC"/>
        <rFont val="Sans-serif"/>
      </rPr>
      <t>Bubur tinotuan (Manado)</t>
    </r>
  </si>
  <si>
    <r>
      <rPr>
        <b/>
        <u/>
        <sz val="10"/>
        <color rgb="FF1155CC"/>
        <rFont val="Sans-serif"/>
      </rPr>
      <t>Bubur tinotuan (Manado)</t>
    </r>
  </si>
  <si>
    <r>
      <rPr>
        <b/>
        <u/>
        <sz val="10"/>
        <color rgb="FF1155CC"/>
        <rFont val="Sans-serif"/>
      </rPr>
      <t>Bubur tinotuan (Manado)</t>
    </r>
  </si>
  <si>
    <r>
      <rPr>
        <b/>
        <u/>
        <sz val="10"/>
        <color rgb="FF1155CC"/>
        <rFont val="Sans-serif"/>
      </rPr>
      <t>Mie baks</t>
    </r>
    <r>
      <rPr>
        <sz val="10"/>
        <rFont val="sans-serif"/>
      </rPr>
      <t>o</t>
    </r>
  </si>
  <si>
    <r>
      <rPr>
        <b/>
        <u/>
        <sz val="10"/>
        <color rgb="FF1155CC"/>
        <rFont val="Sans-serif"/>
      </rPr>
      <t>Mie baks</t>
    </r>
    <r>
      <rPr>
        <sz val="10"/>
        <rFont val="sans-serif"/>
      </rPr>
      <t>o</t>
    </r>
  </si>
  <si>
    <r>
      <rPr>
        <b/>
        <u/>
        <sz val="10"/>
        <color rgb="FF1155CC"/>
        <rFont val="Sans-serif"/>
      </rPr>
      <t>Mie baks</t>
    </r>
    <r>
      <rPr>
        <u/>
        <sz val="10"/>
        <color rgb="FF1155CC"/>
        <rFont val="Sans-serif"/>
      </rPr>
      <t>o</t>
    </r>
  </si>
  <si>
    <r>
      <rPr>
        <b/>
        <u/>
        <sz val="10"/>
        <color rgb="FF1155CC"/>
        <rFont val="Sans-serif"/>
      </rPr>
      <t>Mie baks</t>
    </r>
    <r>
      <rPr>
        <sz val="10"/>
        <rFont val="sans-serif"/>
      </rPr>
      <t>o</t>
    </r>
  </si>
  <si>
    <r>
      <rPr>
        <b/>
        <u/>
        <sz val="10"/>
        <color rgb="FF1155CC"/>
        <rFont val="Sans-serif"/>
      </rPr>
      <t>Mie baks</t>
    </r>
    <r>
      <rPr>
        <u/>
        <sz val="10"/>
        <color rgb="FF1155CC"/>
        <rFont val="Sans-serif"/>
      </rPr>
      <t>o</t>
    </r>
  </si>
  <si>
    <r>
      <rPr>
        <b/>
        <u/>
        <sz val="10"/>
        <color rgb="FF1155CC"/>
        <rFont val="Sans-serif"/>
      </rPr>
      <t>Beras giling, mentah</t>
    </r>
  </si>
  <si>
    <r>
      <rPr>
        <b/>
        <u/>
        <sz val="10"/>
        <color rgb="FF1155CC"/>
        <rFont val="Sans-serif"/>
      </rPr>
      <t>Beras giling, mentah</t>
    </r>
  </si>
  <si>
    <r>
      <rPr>
        <b/>
        <u/>
        <sz val="10"/>
        <color rgb="FF1155CC"/>
        <rFont val="Sans-serif"/>
      </rPr>
      <t>Beras giling, mentah</t>
    </r>
  </si>
  <si>
    <r>
      <rPr>
        <b/>
        <u/>
        <sz val="10"/>
        <color rgb="FF1155CC"/>
        <rFont val="Sans-serif"/>
      </rPr>
      <t>Beras giling, mentah</t>
    </r>
  </si>
  <si>
    <r>
      <rPr>
        <b/>
        <u/>
        <sz val="10"/>
        <color rgb="FF1155CC"/>
        <rFont val="Sans-serif"/>
      </rPr>
      <t>Beras giling, mentah</t>
    </r>
  </si>
  <si>
    <r>
      <rPr>
        <b/>
        <u/>
        <sz val="10"/>
        <color rgb="FF1155CC"/>
        <rFont val="Sans-serif"/>
      </rPr>
      <t>Beras jagung kuning, kering, menta</t>
    </r>
    <r>
      <rPr>
        <sz val="10"/>
        <rFont val="sans-serif"/>
      </rPr>
      <t>h</t>
    </r>
  </si>
  <si>
    <r>
      <rPr>
        <b/>
        <u/>
        <sz val="10"/>
        <color rgb="FF1155CC"/>
        <rFont val="Sans-serif"/>
      </rPr>
      <t>Beras jagung kuning, kering, menta</t>
    </r>
    <r>
      <rPr>
        <sz val="10"/>
        <rFont val="sans-serif"/>
      </rPr>
      <t>h</t>
    </r>
  </si>
  <si>
    <r>
      <rPr>
        <b/>
        <u/>
        <sz val="10"/>
        <color rgb="FF1155CC"/>
        <rFont val="Sans-serif"/>
      </rPr>
      <t>Beras jagung kuning, kering, menta</t>
    </r>
    <r>
      <rPr>
        <u/>
        <sz val="10"/>
        <color rgb="FF1155CC"/>
        <rFont val="Sans-serif"/>
      </rPr>
      <t>h</t>
    </r>
  </si>
  <si>
    <r>
      <rPr>
        <b/>
        <u/>
        <sz val="10"/>
        <color rgb="FF1155CC"/>
        <rFont val="Sans-serif"/>
      </rPr>
      <t>Beras jagung kuning, kering, menta</t>
    </r>
    <r>
      <rPr>
        <sz val="10"/>
        <rFont val="sans-serif"/>
      </rPr>
      <t>h</t>
    </r>
  </si>
  <si>
    <r>
      <rPr>
        <b/>
        <u/>
        <sz val="10"/>
        <color rgb="FF1155CC"/>
        <rFont val="Sans-serif"/>
      </rPr>
      <t>Beras jagung kuning, kering, menta</t>
    </r>
    <r>
      <rPr>
        <u/>
        <sz val="10"/>
        <color rgb="FF1155CC"/>
        <rFont val="Sans-serif"/>
      </rPr>
      <t>h</t>
    </r>
  </si>
  <si>
    <r>
      <rPr>
        <b/>
        <u/>
        <sz val="10"/>
        <color rgb="FF1155CC"/>
        <rFont val="Sans-serif"/>
      </rPr>
      <t>Batatas kelapa, ubi, bakar</t>
    </r>
  </si>
  <si>
    <r>
      <rPr>
        <b/>
        <u/>
        <sz val="10"/>
        <color rgb="FF1155CC"/>
        <rFont val="Sans-serif"/>
      </rPr>
      <t>Batatas kelapa, ubi, bakar</t>
    </r>
  </si>
  <si>
    <r>
      <rPr>
        <b/>
        <u/>
        <sz val="10"/>
        <color rgb="FF1155CC"/>
        <rFont val="Sans-serif"/>
      </rPr>
      <t>Batatas kelapa, ubi, bakar</t>
    </r>
  </si>
  <si>
    <r>
      <rPr>
        <b/>
        <u/>
        <sz val="10"/>
        <color rgb="FF1155CC"/>
        <rFont val="Sans-serif"/>
      </rPr>
      <t>Batatas kelapa, ubi, bakar</t>
    </r>
  </si>
  <si>
    <r>
      <rPr>
        <b/>
        <u/>
        <sz val="10"/>
        <color rgb="FF1155CC"/>
        <rFont val="Sans-serif"/>
      </rPr>
      <t>Batatas kelapa, ubi, bakar</t>
    </r>
  </si>
  <si>
    <r>
      <rPr>
        <b/>
        <u/>
        <sz val="10"/>
        <color rgb="FF1155CC"/>
        <rFont val="Sans-serif"/>
      </rPr>
      <t>Batatas kelapa, ubi, kukus</t>
    </r>
  </si>
  <si>
    <r>
      <rPr>
        <b/>
        <u/>
        <sz val="10"/>
        <color rgb="FF1155CC"/>
        <rFont val="Sans-serif"/>
      </rPr>
      <t>Batatas kelapa, ubi, kukus</t>
    </r>
  </si>
  <si>
    <r>
      <rPr>
        <b/>
        <u/>
        <sz val="10"/>
        <color rgb="FF1155CC"/>
        <rFont val="Sans-serif"/>
      </rPr>
      <t>Batatas kelapa, ubi, kukus</t>
    </r>
  </si>
  <si>
    <r>
      <rPr>
        <b/>
        <u/>
        <sz val="10"/>
        <color rgb="FF1155CC"/>
        <rFont val="Sans-serif"/>
      </rPr>
      <t>Batatas kelapa, ubi, kukus</t>
    </r>
  </si>
  <si>
    <r>
      <rPr>
        <b/>
        <u/>
        <sz val="10"/>
        <color rgb="FF1155CC"/>
        <rFont val="Sans-serif"/>
      </rPr>
      <t>Batatas kelapa, ubi, kukus</t>
    </r>
  </si>
  <si>
    <r>
      <rPr>
        <b/>
        <u/>
        <sz val="10"/>
        <color rgb="FF1155CC"/>
        <rFont val="Sans-serif"/>
      </rPr>
      <t>Batatas tali, ubi, rebus</t>
    </r>
  </si>
  <si>
    <r>
      <rPr>
        <b/>
        <u/>
        <sz val="10"/>
        <color rgb="FF1155CC"/>
        <rFont val="Sans-serif"/>
      </rPr>
      <t>Batatas tali, ubi, rebus</t>
    </r>
  </si>
  <si>
    <r>
      <rPr>
        <b/>
        <u/>
        <sz val="10"/>
        <color rgb="FF1155CC"/>
        <rFont val="Sans-serif"/>
      </rPr>
      <t>Batatas tali, ubi, rebus</t>
    </r>
  </si>
  <si>
    <r>
      <rPr>
        <b/>
        <u/>
        <sz val="10"/>
        <color rgb="FF1155CC"/>
        <rFont val="Sans-serif"/>
      </rPr>
      <t>Batatas tali, ubi, rebus</t>
    </r>
  </si>
  <si>
    <r>
      <rPr>
        <b/>
        <u/>
        <sz val="10"/>
        <color rgb="FF1155CC"/>
        <rFont val="Sans-serif"/>
      </rPr>
      <t>Batatas tali, ubi, rebus</t>
    </r>
  </si>
  <si>
    <r>
      <rPr>
        <b/>
        <u/>
        <sz val="10"/>
        <color rgb="FF1155CC"/>
        <rFont val="Sans-serif"/>
      </rPr>
      <t>Belitung, talas, kukus</t>
    </r>
  </si>
  <si>
    <r>
      <rPr>
        <b/>
        <u/>
        <sz val="10"/>
        <color rgb="FF1155CC"/>
        <rFont val="Sans-serif"/>
      </rPr>
      <t>Belitung, talas, kukus</t>
    </r>
  </si>
  <si>
    <r>
      <rPr>
        <b/>
        <u/>
        <sz val="10"/>
        <color rgb="FF1155CC"/>
        <rFont val="Sans-serif"/>
      </rPr>
      <t>Belitung, talas, kukus</t>
    </r>
  </si>
  <si>
    <r>
      <rPr>
        <b/>
        <u/>
        <sz val="10"/>
        <color rgb="FF1155CC"/>
        <rFont val="Sans-serif"/>
      </rPr>
      <t>Belitung, talas, kukus</t>
    </r>
  </si>
  <si>
    <r>
      <rPr>
        <b/>
        <u/>
        <sz val="10"/>
        <color rgb="FF1155CC"/>
        <rFont val="Sans-serif"/>
      </rPr>
      <t>Belitung, talas, kukus</t>
    </r>
  </si>
  <si>
    <r>
      <rPr>
        <b/>
        <u/>
        <sz val="10"/>
        <color rgb="FF1155CC"/>
        <rFont val="Sans-serif"/>
      </rPr>
      <t>Ketela pohon/singkong kukus</t>
    </r>
  </si>
  <si>
    <r>
      <rPr>
        <b/>
        <u/>
        <sz val="10"/>
        <color rgb="FF1155CC"/>
        <rFont val="Sans-serif"/>
      </rPr>
      <t>Ketela pohon/singkong kukus</t>
    </r>
  </si>
  <si>
    <r>
      <rPr>
        <b/>
        <u/>
        <sz val="10"/>
        <color rgb="FF1155CC"/>
        <rFont val="Sans-serif"/>
      </rPr>
      <t>Ketela pohon/singkong kukus</t>
    </r>
  </si>
  <si>
    <r>
      <rPr>
        <b/>
        <u/>
        <sz val="10"/>
        <color rgb="FF1155CC"/>
        <rFont val="Sans-serif"/>
      </rPr>
      <t>Ketela pohon/singkong kukus</t>
    </r>
  </si>
  <si>
    <r>
      <rPr>
        <b/>
        <u/>
        <sz val="10"/>
        <color rgb="FF1155CC"/>
        <rFont val="Sans-serif"/>
      </rPr>
      <t>Ketela pohon/singkong kukus</t>
    </r>
  </si>
  <si>
    <r>
      <rPr>
        <b/>
        <u/>
        <sz val="10"/>
        <color rgb="FF1155CC"/>
        <rFont val="Sans-serif"/>
      </rPr>
      <t>Ubi jalar, kuning, kukus</t>
    </r>
  </si>
  <si>
    <r>
      <rPr>
        <b/>
        <u/>
        <sz val="10"/>
        <color rgb="FF1155CC"/>
        <rFont val="Sans-serif"/>
      </rPr>
      <t>Ubi jalar, kuning, kukus</t>
    </r>
  </si>
  <si>
    <r>
      <rPr>
        <b/>
        <u/>
        <sz val="10"/>
        <color rgb="FF1155CC"/>
        <rFont val="Sans-serif"/>
      </rPr>
      <t>Ubi jalar, kuning, kukus</t>
    </r>
  </si>
  <si>
    <r>
      <rPr>
        <b/>
        <u/>
        <sz val="10"/>
        <color rgb="FF1155CC"/>
        <rFont val="Sans-serif"/>
      </rPr>
      <t>Ubi jalar, kuning, kukus</t>
    </r>
  </si>
  <si>
    <r>
      <rPr>
        <b/>
        <u/>
        <sz val="10"/>
        <color rgb="FF1155CC"/>
        <rFont val="Sans-serif"/>
      </rPr>
      <t>Ubi jalar, kuning, kukus</t>
    </r>
  </si>
  <si>
    <r>
      <rPr>
        <b/>
        <u/>
        <sz val="10"/>
        <color rgb="FF1155CC"/>
        <rFont val="Sans-serif"/>
      </rPr>
      <t>Ubi jalar tinta/ kemayung kukus</t>
    </r>
  </si>
  <si>
    <r>
      <rPr>
        <b/>
        <u/>
        <sz val="10"/>
        <color rgb="FF1155CC"/>
        <rFont val="Sans-serif"/>
      </rPr>
      <t>Ubi jalar tinta/ kemayung kukus</t>
    </r>
  </si>
  <si>
    <r>
      <rPr>
        <b/>
        <u/>
        <sz val="10"/>
        <color rgb="FF1155CC"/>
        <rFont val="Sans-serif"/>
      </rPr>
      <t>Ubi jalar tinta/ kemayung kukus</t>
    </r>
  </si>
  <si>
    <r>
      <rPr>
        <b/>
        <u/>
        <sz val="10"/>
        <color rgb="FF1155CC"/>
        <rFont val="Sans-serif"/>
      </rPr>
      <t>Ubi jalar tinta/ kemayung kukus</t>
    </r>
  </si>
  <si>
    <r>
      <rPr>
        <b/>
        <u/>
        <sz val="10"/>
        <color rgb="FF1155CC"/>
        <rFont val="Sans-serif"/>
      </rPr>
      <t>Ubi jalar tinta/ kemayung kukus</t>
    </r>
  </si>
  <si>
    <r>
      <rPr>
        <b/>
        <u/>
        <sz val="10"/>
        <color rgb="FF1155CC"/>
        <rFont val="Sans-serif"/>
      </rPr>
      <t>Ubi jalar merah, segar</t>
    </r>
  </si>
  <si>
    <r>
      <rPr>
        <b/>
        <u/>
        <sz val="10"/>
        <color rgb="FF1155CC"/>
        <rFont val="Sans-serif"/>
      </rPr>
      <t>Ubi jalar merah, segar</t>
    </r>
  </si>
  <si>
    <r>
      <rPr>
        <b/>
        <u/>
        <sz val="10"/>
        <color rgb="FF1155CC"/>
        <rFont val="Sans-serif"/>
      </rPr>
      <t>Ubi jalar merah, segar</t>
    </r>
  </si>
  <si>
    <r>
      <rPr>
        <b/>
        <u/>
        <sz val="10"/>
        <color rgb="FF1155CC"/>
        <rFont val="Sans-serif"/>
      </rPr>
      <t>Ubi jalar merah, segar</t>
    </r>
  </si>
  <si>
    <r>
      <rPr>
        <b/>
        <u/>
        <sz val="10"/>
        <color rgb="FF1155CC"/>
        <rFont val="Sans-serif"/>
      </rPr>
      <t>Ubi jalar merah, segar</t>
    </r>
  </si>
  <si>
    <r>
      <rPr>
        <b/>
        <u/>
        <sz val="10"/>
        <color rgb="FF1155CC"/>
        <rFont val="Sans-serif"/>
      </rPr>
      <t>Ubi jalar putih, segar</t>
    </r>
  </si>
  <si>
    <r>
      <rPr>
        <b/>
        <u/>
        <sz val="10"/>
        <color rgb="FF1155CC"/>
        <rFont val="Sans-serif"/>
      </rPr>
      <t>Ubi jalar putih, segar</t>
    </r>
  </si>
  <si>
    <r>
      <rPr>
        <b/>
        <u/>
        <sz val="10"/>
        <color rgb="FF1155CC"/>
        <rFont val="Sans-serif"/>
      </rPr>
      <t>Ubi jalar putih, segar</t>
    </r>
  </si>
  <si>
    <r>
      <rPr>
        <b/>
        <u/>
        <sz val="10"/>
        <color rgb="FF1155CC"/>
        <rFont val="Sans-serif"/>
      </rPr>
      <t>Ubi jalar putih, segar</t>
    </r>
  </si>
  <si>
    <r>
      <rPr>
        <b/>
        <u/>
        <sz val="10"/>
        <color rgb="FF1155CC"/>
        <rFont val="Sans-serif"/>
      </rPr>
      <t>Ubi jalar putih, segar</t>
    </r>
  </si>
  <si>
    <r>
      <rPr>
        <b/>
        <u/>
        <sz val="10"/>
        <color rgb="FF1155CC"/>
        <rFont val="Sans-serif"/>
      </rPr>
      <t>Keripik kentang</t>
    </r>
  </si>
  <si>
    <r>
      <rPr>
        <b/>
        <u/>
        <sz val="10"/>
        <color rgb="FF1155CC"/>
        <rFont val="Sans-serif"/>
      </rPr>
      <t>Keripik kentang</t>
    </r>
  </si>
  <si>
    <r>
      <rPr>
        <b/>
        <u/>
        <sz val="10"/>
        <color rgb="FF1155CC"/>
        <rFont val="Sans-serif"/>
      </rPr>
      <t>Keripik kentang</t>
    </r>
  </si>
  <si>
    <r>
      <rPr>
        <b/>
        <u/>
        <sz val="10"/>
        <color rgb="FF1155CC"/>
        <rFont val="Sans-serif"/>
      </rPr>
      <t>Keripik kentang</t>
    </r>
  </si>
  <si>
    <r>
      <rPr>
        <b/>
        <u/>
        <sz val="10"/>
        <color rgb="FF1155CC"/>
        <rFont val="Sans-serif"/>
      </rPr>
      <t>Keripik kentang</t>
    </r>
  </si>
  <si>
    <r>
      <rPr>
        <b/>
        <u/>
        <sz val="10"/>
        <color rgb="FF1155CC"/>
        <rFont val="Sans-serif"/>
      </rPr>
      <t>Keripik ub</t>
    </r>
    <r>
      <rPr>
        <sz val="10"/>
        <rFont val="sans-serif"/>
      </rPr>
      <t>i</t>
    </r>
  </si>
  <si>
    <r>
      <rPr>
        <b/>
        <u/>
        <sz val="10"/>
        <color rgb="FF1155CC"/>
        <rFont val="Sans-serif"/>
      </rPr>
      <t>Keripik ub</t>
    </r>
    <r>
      <rPr>
        <sz val="10"/>
        <rFont val="sans-serif"/>
      </rPr>
      <t>i</t>
    </r>
  </si>
  <si>
    <r>
      <rPr>
        <b/>
        <u/>
        <sz val="10"/>
        <color rgb="FF1155CC"/>
        <rFont val="Sans-serif"/>
      </rPr>
      <t>Keripik ub</t>
    </r>
    <r>
      <rPr>
        <u/>
        <sz val="10"/>
        <color rgb="FF1155CC"/>
        <rFont val="Sans-serif"/>
      </rPr>
      <t>i</t>
    </r>
  </si>
  <si>
    <r>
      <rPr>
        <b/>
        <u/>
        <sz val="10"/>
        <color rgb="FF1155CC"/>
        <rFont val="Sans-serif"/>
      </rPr>
      <t>Keripik ub</t>
    </r>
    <r>
      <rPr>
        <sz val="10"/>
        <rFont val="sans-serif"/>
      </rPr>
      <t>i</t>
    </r>
  </si>
  <si>
    <r>
      <rPr>
        <b/>
        <u/>
        <sz val="10"/>
        <color rgb="FF1155CC"/>
        <rFont val="Sans-serif"/>
      </rPr>
      <t>Keripik ub</t>
    </r>
    <r>
      <rPr>
        <u/>
        <sz val="10"/>
        <color rgb="FF1155CC"/>
        <rFont val="Sans-serif"/>
      </rPr>
      <t>i</t>
    </r>
  </si>
  <si>
    <r>
      <rPr>
        <b/>
        <u/>
        <sz val="10"/>
        <color rgb="FF1155CC"/>
        <rFont val="Sans-serif"/>
      </rPr>
      <t>Kerupuk cumi goreng</t>
    </r>
  </si>
  <si>
    <r>
      <rPr>
        <b/>
        <u/>
        <sz val="10"/>
        <color rgb="FF1155CC"/>
        <rFont val="Sans-serif"/>
      </rPr>
      <t>Kerupuk cumi goreng</t>
    </r>
  </si>
  <si>
    <r>
      <rPr>
        <b/>
        <u/>
        <sz val="10"/>
        <color rgb="FF1155CC"/>
        <rFont val="Sans-serif"/>
      </rPr>
      <t>Kerupuk cumi goreng</t>
    </r>
  </si>
  <si>
    <r>
      <rPr>
        <b/>
        <u/>
        <sz val="10"/>
        <color rgb="FF1155CC"/>
        <rFont val="Sans-serif"/>
      </rPr>
      <t>Kerupuk cumi goreng</t>
    </r>
  </si>
  <si>
    <r>
      <rPr>
        <b/>
        <u/>
        <sz val="10"/>
        <color rgb="FF1155CC"/>
        <rFont val="Sans-serif"/>
      </rPr>
      <t>Kerupuk cumi goreng</t>
    </r>
  </si>
  <si>
    <r>
      <rPr>
        <b/>
        <u/>
        <sz val="10"/>
        <color rgb="FF1155CC"/>
        <rFont val="Sans-serif"/>
      </rPr>
      <t>Kerupuk udang goreng</t>
    </r>
  </si>
  <si>
    <r>
      <rPr>
        <b/>
        <u/>
        <sz val="10"/>
        <color rgb="FF1155CC"/>
        <rFont val="Sans-serif"/>
      </rPr>
      <t>Kerupuk udang goreng</t>
    </r>
  </si>
  <si>
    <r>
      <rPr>
        <b/>
        <u/>
        <sz val="10"/>
        <color rgb="FF1155CC"/>
        <rFont val="Sans-serif"/>
      </rPr>
      <t>Kerupuk udang goreng</t>
    </r>
  </si>
  <si>
    <r>
      <rPr>
        <b/>
        <u/>
        <sz val="10"/>
        <color rgb="FF1155CC"/>
        <rFont val="Sans-serif"/>
      </rPr>
      <t>Kerupuk udang goreng</t>
    </r>
  </si>
  <si>
    <r>
      <rPr>
        <b/>
        <u/>
        <sz val="10"/>
        <color rgb="FF1155CC"/>
        <rFont val="Sans-serif"/>
      </rPr>
      <t>Kerupuk udang goreng</t>
    </r>
  </si>
  <si>
    <r>
      <rPr>
        <b/>
        <u/>
        <sz val="10"/>
        <color rgb="FF1155CC"/>
        <rFont val="Sans-serif"/>
      </rPr>
      <t>Kue putu singkong</t>
    </r>
  </si>
  <si>
    <r>
      <rPr>
        <b/>
        <u/>
        <sz val="10"/>
        <color rgb="FF1155CC"/>
        <rFont val="Sans-serif"/>
      </rPr>
      <t>Kue putu singkong</t>
    </r>
  </si>
  <si>
    <r>
      <rPr>
        <b/>
        <u/>
        <sz val="10"/>
        <color rgb="FF1155CC"/>
        <rFont val="Sans-serif"/>
      </rPr>
      <t>Kue putu singkong</t>
    </r>
  </si>
  <si>
    <r>
      <rPr>
        <b/>
        <u/>
        <sz val="10"/>
        <color rgb="FF1155CC"/>
        <rFont val="Sans-serif"/>
      </rPr>
      <t>Kue putu singkong</t>
    </r>
  </si>
  <si>
    <r>
      <rPr>
        <b/>
        <u/>
        <sz val="10"/>
        <color rgb="FF1155CC"/>
        <rFont val="Sans-serif"/>
      </rPr>
      <t>Kue putu singkong</t>
    </r>
  </si>
  <si>
    <r>
      <rPr>
        <b/>
        <u/>
        <sz val="10"/>
        <color rgb="FF1155CC"/>
        <rFont val="Sans-serif"/>
      </rPr>
      <t>Papeda</t>
    </r>
  </si>
  <si>
    <r>
      <rPr>
        <b/>
        <u/>
        <sz val="10"/>
        <color rgb="FF1155CC"/>
        <rFont val="Sans-serif"/>
      </rPr>
      <t>Papeda</t>
    </r>
  </si>
  <si>
    <r>
      <rPr>
        <b/>
        <u/>
        <sz val="10"/>
        <color rgb="FF1155CC"/>
        <rFont val="Sans-serif"/>
      </rPr>
      <t>Papeda</t>
    </r>
  </si>
  <si>
    <r>
      <rPr>
        <b/>
        <u/>
        <sz val="10"/>
        <color rgb="FF1155CC"/>
        <rFont val="Sans-serif"/>
      </rPr>
      <t>Papeda</t>
    </r>
  </si>
  <si>
    <r>
      <rPr>
        <b/>
        <u/>
        <sz val="10"/>
        <color rgb="FF1155CC"/>
        <rFont val="Sans-serif"/>
      </rPr>
      <t>Papeda</t>
    </r>
  </si>
  <si>
    <r>
      <rPr>
        <b/>
        <u/>
        <sz val="10"/>
        <color rgb="FF1155CC"/>
        <rFont val="Sans-serif"/>
      </rPr>
      <t>Kacang hijau, rebu</t>
    </r>
    <r>
      <rPr>
        <sz val="10"/>
        <rFont val="sans-serif"/>
      </rPr>
      <t>s</t>
    </r>
  </si>
  <si>
    <r>
      <rPr>
        <b/>
        <u/>
        <sz val="10"/>
        <color rgb="FF1155CC"/>
        <rFont val="Sans-serif"/>
      </rPr>
      <t>Kacang hijau, rebu</t>
    </r>
    <r>
      <rPr>
        <sz val="10"/>
        <rFont val="sans-serif"/>
      </rPr>
      <t>s</t>
    </r>
  </si>
  <si>
    <r>
      <rPr>
        <b/>
        <u/>
        <sz val="10"/>
        <color rgb="FF1155CC"/>
        <rFont val="Sans-serif"/>
      </rPr>
      <t>Kacang hijau, rebu</t>
    </r>
    <r>
      <rPr>
        <u/>
        <sz val="10"/>
        <color rgb="FF1155CC"/>
        <rFont val="Sans-serif"/>
      </rPr>
      <t>s</t>
    </r>
  </si>
  <si>
    <r>
      <rPr>
        <b/>
        <u/>
        <sz val="10"/>
        <color rgb="FF1155CC"/>
        <rFont val="Sans-serif"/>
      </rPr>
      <t>Kacang hijau, rebu</t>
    </r>
    <r>
      <rPr>
        <sz val="10"/>
        <rFont val="sans-serif"/>
      </rPr>
      <t>s</t>
    </r>
  </si>
  <si>
    <r>
      <rPr>
        <b/>
        <u/>
        <sz val="10"/>
        <color rgb="FF1155CC"/>
        <rFont val="Sans-serif"/>
      </rPr>
      <t>Kacang hijau, rebu</t>
    </r>
    <r>
      <rPr>
        <u/>
        <sz val="10"/>
        <color rgb="FF1155CC"/>
        <rFont val="Sans-serif"/>
      </rPr>
      <t>s</t>
    </r>
  </si>
  <si>
    <r>
      <rPr>
        <b/>
        <u/>
        <sz val="10"/>
        <color rgb="FF1155CC"/>
        <rFont val="Sans-serif"/>
      </rPr>
      <t>Kacang kedelai, goreng</t>
    </r>
  </si>
  <si>
    <r>
      <rPr>
        <b/>
        <u/>
        <sz val="10"/>
        <color rgb="FF1155CC"/>
        <rFont val="Sans-serif"/>
      </rPr>
      <t>Kacang kedelai, goreng</t>
    </r>
  </si>
  <si>
    <r>
      <rPr>
        <b/>
        <u/>
        <sz val="10"/>
        <color rgb="FF1155CC"/>
        <rFont val="Sans-serif"/>
      </rPr>
      <t>Kacang kedelai, goreng</t>
    </r>
  </si>
  <si>
    <r>
      <rPr>
        <b/>
        <u/>
        <sz val="10"/>
        <color rgb="FF1155CC"/>
        <rFont val="Sans-serif"/>
      </rPr>
      <t>Kacang kedelai, goreng</t>
    </r>
  </si>
  <si>
    <r>
      <rPr>
        <b/>
        <u/>
        <sz val="10"/>
        <color rgb="FF1155CC"/>
        <rFont val="Sans-serif"/>
      </rPr>
      <t>Kacang kedelai, goreng</t>
    </r>
  </si>
  <si>
    <r>
      <rPr>
        <b/>
        <u/>
        <sz val="10"/>
        <color rgb="FF1155CC"/>
        <rFont val="Sans-serif"/>
      </rPr>
      <t>Kacang kedelai, rebus</t>
    </r>
  </si>
  <si>
    <r>
      <rPr>
        <b/>
        <u/>
        <sz val="10"/>
        <color rgb="FF1155CC"/>
        <rFont val="Sans-serif"/>
      </rPr>
      <t>Kacang kedelai, rebus</t>
    </r>
  </si>
  <si>
    <r>
      <rPr>
        <b/>
        <u/>
        <sz val="10"/>
        <color rgb="FF1155CC"/>
        <rFont val="Sans-serif"/>
      </rPr>
      <t>Kacang kedelai, rebus</t>
    </r>
  </si>
  <si>
    <r>
      <rPr>
        <b/>
        <u/>
        <sz val="10"/>
        <color rgb="FF1155CC"/>
        <rFont val="Sans-serif"/>
      </rPr>
      <t>Kacang kedelai, rebus</t>
    </r>
  </si>
  <si>
    <r>
      <rPr>
        <b/>
        <u/>
        <sz val="10"/>
        <color rgb="FF1155CC"/>
        <rFont val="Sans-serif"/>
      </rPr>
      <t>Kacang kedelai, rebus</t>
    </r>
  </si>
  <si>
    <t>DATA INNVENTARIS RADIO HYTERA</t>
  </si>
  <si>
    <t>No</t>
  </si>
  <si>
    <t>Nama</t>
  </si>
  <si>
    <t>Area Operasi</t>
  </si>
  <si>
    <t>Keterangan</t>
  </si>
  <si>
    <t xml:space="preserve">M.Saleh </t>
  </si>
  <si>
    <t>Rendalop</t>
  </si>
  <si>
    <t>Baik</t>
  </si>
  <si>
    <t>Rusdian</t>
  </si>
  <si>
    <t>Operasi</t>
  </si>
  <si>
    <t>Samam</t>
  </si>
  <si>
    <t>Room PNC</t>
  </si>
  <si>
    <t>PNC</t>
  </si>
  <si>
    <t>Hendra</t>
  </si>
  <si>
    <t>Ops. Depo</t>
  </si>
  <si>
    <t>Dadang</t>
  </si>
  <si>
    <t>Gudang</t>
  </si>
  <si>
    <t>1 Unit rusak</t>
  </si>
  <si>
    <t>Battery rusak</t>
  </si>
  <si>
    <t>Balikpapan, 12 Januari 2026</t>
  </si>
  <si>
    <t>TTD</t>
  </si>
  <si>
    <t>(DBM REODALOP)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</si>
</sst>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222222"/>
      <name val="Sans-serif"/>
    </font>
    <font>
      <u/>
      <sz val="10"/>
      <color rgb="FF0000FF"/>
      <name val="Sans-serif"/>
    </font>
    <font>
      <u/>
      <sz val="10"/>
      <color rgb="FF0000FF"/>
      <name val="Sans-serif"/>
    </font>
    <font>
      <b/>
      <u/>
      <sz val="10"/>
      <color rgb="FF0000FF"/>
      <name val="Sans-serif"/>
    </font>
    <font>
      <b/>
      <u/>
      <sz val="10"/>
      <color rgb="FF0000FF"/>
      <name val="Sans-serif"/>
    </font>
    <font>
      <sz val="10"/>
      <color rgb="FF222222"/>
      <name val="Sans-serif"/>
    </font>
    <font>
      <u/>
      <sz val="10"/>
      <color rgb="FF0000FF"/>
      <name val="Sans-serif"/>
    </font>
    <font>
      <b/>
      <u/>
      <sz val="10"/>
      <color rgb="FF0000FF"/>
      <name val="Sans-serif"/>
    </font>
    <font>
      <b/>
      <sz val="10"/>
      <color theme="1"/>
      <name val="Sans-serif"/>
    </font>
    <font>
      <b/>
      <sz val="10"/>
      <color rgb="FF222222"/>
      <name val="Arial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Sans-serif"/>
    </font>
    <font>
      <b/>
      <sz val="10"/>
      <color rgb="FF000000"/>
      <name val="Sans-serif"/>
    </font>
    <font>
      <sz val="15"/>
      <color theme="1"/>
      <name val="Times New Roman"/>
    </font>
    <font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Arial"/>
    </font>
    <font>
      <u/>
      <sz val="10"/>
      <color rgb="FF1155CC"/>
      <name val="Sans-serif"/>
    </font>
    <font>
      <sz val="10"/>
      <name val="Arial"/>
    </font>
    <font>
      <u/>
      <sz val="10"/>
      <color rgb="FF1155CC"/>
      <name val="Sans-serif"/>
    </font>
    <font>
      <b/>
      <u/>
      <sz val="10"/>
      <color rgb="FF222222"/>
      <name val="Sans-serif"/>
    </font>
    <font>
      <b/>
      <u/>
      <sz val="10"/>
      <color rgb="FF1155CC"/>
      <name val="Sans-serif"/>
    </font>
    <font>
      <b/>
      <u/>
      <sz val="10"/>
      <color rgb="FF1155CC"/>
      <name val="Sans-serif"/>
    </font>
    <font>
      <u/>
      <sz val="10"/>
      <color rgb="FF1155CC"/>
      <name val="Sans-serif"/>
    </font>
    <font>
      <b/>
      <u/>
      <sz val="10"/>
      <color rgb="FF1155CC"/>
      <name val="Sans-serif"/>
    </font>
    <font>
      <b/>
      <u/>
      <sz val="10"/>
      <color rgb="FF0000FF"/>
      <name val="Arial"/>
    </font>
    <font>
      <b/>
      <u/>
      <sz val="10"/>
      <color rgb="FF0000FF"/>
      <name val="Arial"/>
    </font>
    <font>
      <sz val="12"/>
      <color theme="1"/>
      <name val="Times New Roman"/>
    </font>
    <font>
      <sz val="12"/>
      <color rgb="FF000000"/>
      <name val="&quot;Times New Roman&quot;"/>
    </font>
    <font>
      <b/>
      <u/>
      <sz val="10"/>
      <color rgb="FF1155CC"/>
      <name val="Arial"/>
    </font>
    <font>
      <sz val="10"/>
      <name val="sans-serif"/>
    </font>
    <font>
      <b/>
      <u/>
      <sz val="10"/>
      <color rgb="FF000000"/>
      <name val="sans-serif"/>
    </font>
    <font>
      <b/>
      <sz val="10"/>
      <color rgb="FF1F1F1F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980000"/>
        <bgColor rgb="FF98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  <diagonal/>
    </border>
    <border>
      <left style="thin">
        <color rgb="FFA2A9B1"/>
      </left>
      <right style="thin">
        <color rgb="FFA2A9B1"/>
      </right>
      <top style="medium">
        <color rgb="FF808080"/>
      </top>
      <bottom style="thin">
        <color rgb="FFA2A9B1"/>
      </bottom>
      <diagonal/>
    </border>
    <border>
      <left style="thin">
        <color rgb="FFA2A9B1"/>
      </left>
      <right/>
      <top style="thin">
        <color rgb="FFA2A9B1"/>
      </top>
      <bottom style="thin">
        <color rgb="FFA2A9B1"/>
      </bottom>
      <diagonal/>
    </border>
    <border>
      <left/>
      <right/>
      <top style="thin">
        <color rgb="FFA2A9B1"/>
      </top>
      <bottom style="thin">
        <color rgb="FFA2A9B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4" borderId="0" xfId="0" applyFont="1" applyFill="1"/>
    <xf numFmtId="0" fontId="1" fillId="0" borderId="0" xfId="0" applyFont="1"/>
    <xf numFmtId="0" fontId="2" fillId="5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top"/>
    </xf>
    <xf numFmtId="4" fontId="2" fillId="6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" fillId="3" borderId="0" xfId="0" applyFont="1" applyFill="1"/>
    <xf numFmtId="0" fontId="6" fillId="3" borderId="2" xfId="0" applyFont="1" applyFill="1" applyBorder="1" applyAlignment="1">
      <alignment horizontal="left" vertical="top"/>
    </xf>
    <xf numFmtId="4" fontId="2" fillId="3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" fillId="7" borderId="0" xfId="0" applyFont="1" applyFill="1"/>
    <xf numFmtId="0" fontId="2" fillId="6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left" vertical="top"/>
    </xf>
    <xf numFmtId="0" fontId="13" fillId="0" borderId="0" xfId="0" applyFont="1" applyAlignment="1">
      <alignment vertical="center" wrapText="1"/>
    </xf>
    <xf numFmtId="0" fontId="14" fillId="0" borderId="2" xfId="0" applyFont="1" applyBorder="1" applyAlignment="1">
      <alignment horizontal="center"/>
    </xf>
    <xf numFmtId="0" fontId="15" fillId="0" borderId="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2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14" fillId="2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1" fillId="5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2" fillId="0" borderId="0" xfId="0" applyFont="1"/>
    <xf numFmtId="0" fontId="11" fillId="5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3" fillId="0" borderId="3" xfId="0" applyFont="1" applyBorder="1" applyAlignment="1">
      <alignment vertical="top"/>
    </xf>
    <xf numFmtId="0" fontId="25" fillId="0" borderId="2" xfId="0" applyFont="1" applyBorder="1" applyAlignment="1">
      <alignment vertical="top"/>
    </xf>
    <xf numFmtId="0" fontId="26" fillId="6" borderId="0" xfId="0" applyFont="1" applyFill="1" applyAlignment="1">
      <alignment horizontal="center"/>
    </xf>
    <xf numFmtId="0" fontId="27" fillId="0" borderId="2" xfId="0" applyFont="1" applyBorder="1" applyAlignment="1">
      <alignment vertical="top"/>
    </xf>
    <xf numFmtId="0" fontId="28" fillId="3" borderId="2" xfId="0" applyFont="1" applyFill="1" applyBorder="1" applyAlignment="1">
      <alignment vertical="top"/>
    </xf>
    <xf numFmtId="0" fontId="29" fillId="3" borderId="2" xfId="0" applyFont="1" applyFill="1" applyBorder="1" applyAlignment="1">
      <alignment vertical="top"/>
    </xf>
    <xf numFmtId="0" fontId="30" fillId="0" borderId="3" xfId="0" applyFont="1" applyBorder="1" applyAlignment="1">
      <alignment vertical="top"/>
    </xf>
    <xf numFmtId="0" fontId="31" fillId="2" borderId="2" xfId="0" applyFont="1" applyFill="1" applyBorder="1" applyAlignment="1">
      <alignment horizontal="center" wrapText="1"/>
    </xf>
    <xf numFmtId="0" fontId="32" fillId="3" borderId="2" xfId="0" applyFont="1" applyFill="1" applyBorder="1" applyAlignment="1">
      <alignment horizontal="center" wrapText="1"/>
    </xf>
    <xf numFmtId="0" fontId="33" fillId="0" borderId="0" xfId="0" applyFont="1"/>
    <xf numFmtId="0" fontId="33" fillId="0" borderId="1" xfId="0" applyFont="1" applyBorder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0" fillId="0" borderId="0" xfId="0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4" fillId="0" borderId="5" xfId="0" applyFont="1" applyBorder="1"/>
    <xf numFmtId="0" fontId="33" fillId="0" borderId="0" xfId="0" applyFont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2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>
  <x18tc:person displayName="Khanza Nabila Tsabita" id="{9749b678-32d3-4248-9fa5-bb9f36c36cfe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ndrafarm.com/_andra.php?_i=daftar-tkpi&amp;kmakan=BP045" TargetMode="External"/><Relationship Id="rId21" Type="http://schemas.openxmlformats.org/officeDocument/2006/relationships/hyperlink" Target="https://www.andrafarm.com/_andra.php?_i=daftar-tkpi&amp;kmakan=AP001" TargetMode="External"/><Relationship Id="rId42" Type="http://schemas.openxmlformats.org/officeDocument/2006/relationships/hyperlink" Target="https://www.andrafarm.com/_andra.php?_i=daftar-tkpi&amp;kmakan=AR001" TargetMode="External"/><Relationship Id="rId63" Type="http://schemas.openxmlformats.org/officeDocument/2006/relationships/hyperlink" Target="https://www.andrafarm.com/_andra.php?_i=daftar-tkpi&amp;kmakan=BP002" TargetMode="External"/><Relationship Id="rId84" Type="http://schemas.openxmlformats.org/officeDocument/2006/relationships/hyperlink" Target="https://www.andrafarm.com/_andra.php?_i=daftar-tkpi&amp;kmakan=BP011" TargetMode="External"/><Relationship Id="rId138" Type="http://schemas.openxmlformats.org/officeDocument/2006/relationships/hyperlink" Target="https://www.andrafarm.com/_andra.php?_i=daftar-tkpi&amp;kmakan=CP006" TargetMode="External"/><Relationship Id="rId107" Type="http://schemas.openxmlformats.org/officeDocument/2006/relationships/hyperlink" Target="https://www.andrafarm.com/_andra.php?_i=daftar-tkpi&amp;kmakan=BP039" TargetMode="External"/><Relationship Id="rId11" Type="http://schemas.openxmlformats.org/officeDocument/2006/relationships/hyperlink" Target="https://www.andrafarm.com/_andra.php?_i=daftar-tkpi&amp;jobs=&amp;perhal=40&amp;sby=&amp;knama=&amp;asc=0000000001&amp;urut=9" TargetMode="External"/><Relationship Id="rId32" Type="http://schemas.openxmlformats.org/officeDocument/2006/relationships/hyperlink" Target="https://www.andrafarm.com/_andra.php?_i=daftar-tkpi&amp;kmakan=AP040" TargetMode="External"/><Relationship Id="rId37" Type="http://schemas.openxmlformats.org/officeDocument/2006/relationships/hyperlink" Target="https://www.andrafarm.com/_andra.php?_i=daftar-tkpi&amp;kmakan=AP086" TargetMode="External"/><Relationship Id="rId53" Type="http://schemas.openxmlformats.org/officeDocument/2006/relationships/hyperlink" Target="https://www.andrafarm.com/_andra.php?_i=daftar-tkpi&amp;kmakan=BP001" TargetMode="External"/><Relationship Id="rId58" Type="http://schemas.openxmlformats.org/officeDocument/2006/relationships/hyperlink" Target="https://www.andrafarm.com/_andra.php?_i=daftar-tkpi&amp;kmakan=BP045" TargetMode="External"/><Relationship Id="rId74" Type="http://schemas.openxmlformats.org/officeDocument/2006/relationships/hyperlink" Target="https://www.andrafarm.com/_andra.php?_i=daftar-tkpi&amp;kmakan=BP004" TargetMode="External"/><Relationship Id="rId79" Type="http://schemas.openxmlformats.org/officeDocument/2006/relationships/hyperlink" Target="https://www.andrafarm.com/_andra.php?_i=daftar-tkpi&amp;kmakan=BP008" TargetMode="External"/><Relationship Id="rId102" Type="http://schemas.openxmlformats.org/officeDocument/2006/relationships/hyperlink" Target="https://www.andrafarm.com/_andra.php?_i=daftar-tkpi&amp;kmakan=BP036" TargetMode="External"/><Relationship Id="rId123" Type="http://schemas.openxmlformats.org/officeDocument/2006/relationships/hyperlink" Target="https://www.andrafarm.com/_andra.php?_i=daftar-tkpi&amp;kmakan=BP047" TargetMode="External"/><Relationship Id="rId128" Type="http://schemas.openxmlformats.org/officeDocument/2006/relationships/hyperlink" Target="https://www.andrafarm.com/_andra.php?_i=daftar-tkpi&amp;kmakan=BP054" TargetMode="External"/><Relationship Id="rId144" Type="http://schemas.openxmlformats.org/officeDocument/2006/relationships/hyperlink" Target="https://www.andrafarm.com/_andra.php?_i=daftar-tkpi&amp;kmakan=CP007" TargetMode="External"/><Relationship Id="rId5" Type="http://schemas.openxmlformats.org/officeDocument/2006/relationships/hyperlink" Target="https://www.andrafarm.com/_andra.php?_i=daftar-tkpi&amp;jobs=&amp;perhal=40&amp;sby=&amp;knama=&amp;asc=0000000001&amp;urut=9" TargetMode="External"/><Relationship Id="rId90" Type="http://schemas.openxmlformats.org/officeDocument/2006/relationships/hyperlink" Target="https://www.andrafarm.com/_andra.php?_i=daftar-tkpi&amp;kmakan=BR030" TargetMode="External"/><Relationship Id="rId95" Type="http://schemas.openxmlformats.org/officeDocument/2006/relationships/hyperlink" Target="https://www.andrafarm.com/_andra.php?_i=daftar-tkpi&amp;kmakan=BR031" TargetMode="External"/><Relationship Id="rId22" Type="http://schemas.openxmlformats.org/officeDocument/2006/relationships/hyperlink" Target="https://www.andrafarm.com/_andra.php?_i=daftar-tkpi&amp;kmakan=AP001" TargetMode="External"/><Relationship Id="rId27" Type="http://schemas.openxmlformats.org/officeDocument/2006/relationships/hyperlink" Target="https://www.andrafarm.com/_andra.php?_i=daftar-tkpi&amp;kmakan=AP029" TargetMode="External"/><Relationship Id="rId43" Type="http://schemas.openxmlformats.org/officeDocument/2006/relationships/hyperlink" Target="https://www.andrafarm.com/_andra.php?_i=daftar-tkpi&amp;kmakan=AR001" TargetMode="External"/><Relationship Id="rId48" Type="http://schemas.openxmlformats.org/officeDocument/2006/relationships/hyperlink" Target="https://www.andrafarm.com/_andra.php?_i=daftar-tkpi&amp;kmakan=AR005" TargetMode="External"/><Relationship Id="rId64" Type="http://schemas.openxmlformats.org/officeDocument/2006/relationships/hyperlink" Target="https://www.andrafarm.com/_andra.php?_i=daftar-tkpi&amp;kmakan=CP005" TargetMode="External"/><Relationship Id="rId69" Type="http://schemas.openxmlformats.org/officeDocument/2006/relationships/hyperlink" Target="https://www.andrafarm.com/_andra.php?_i=daftar-tkpi&amp;kmakan=BP003" TargetMode="External"/><Relationship Id="rId113" Type="http://schemas.openxmlformats.org/officeDocument/2006/relationships/hyperlink" Target="https://www.andrafarm.com/_andra.php?_i=daftar-tkpi&amp;kmakan=BP040" TargetMode="External"/><Relationship Id="rId118" Type="http://schemas.openxmlformats.org/officeDocument/2006/relationships/hyperlink" Target="https://www.andrafarm.com/_andra.php?_i=daftar-tkpi&amp;kmakan=BP045" TargetMode="External"/><Relationship Id="rId134" Type="http://schemas.openxmlformats.org/officeDocument/2006/relationships/hyperlink" Target="https://www.andrafarm.com/_andra.php?_i=daftar-tkpi&amp;kmakan=CP005" TargetMode="External"/><Relationship Id="rId139" Type="http://schemas.openxmlformats.org/officeDocument/2006/relationships/hyperlink" Target="https://www.andrafarm.com/_andra.php?_i=daftar-tkpi&amp;kmakan=CP006" TargetMode="External"/><Relationship Id="rId80" Type="http://schemas.openxmlformats.org/officeDocument/2006/relationships/hyperlink" Target="https://www.andrafarm.com/_andra.php?_i=daftar-tkpi&amp;kmakan=BP011" TargetMode="External"/><Relationship Id="rId85" Type="http://schemas.openxmlformats.org/officeDocument/2006/relationships/hyperlink" Target="https://www.andrafarm.com/_andra.php?_i=daftar-tkpi&amp;kmakan=BP012" TargetMode="External"/><Relationship Id="rId12" Type="http://schemas.openxmlformats.org/officeDocument/2006/relationships/hyperlink" Target="https://www.andrafarm.com/_andra.php?_i=daftar-tkpi&amp;jobs=&amp;perhal=40&amp;sby=&amp;knama=&amp;asc=0000100000&amp;urut=14" TargetMode="External"/><Relationship Id="rId17" Type="http://schemas.openxmlformats.org/officeDocument/2006/relationships/hyperlink" Target="https://www.andrafarm.com/_andra.php?_i=daftar-tkpi&amp;jobs=&amp;perhal=40&amp;sby=&amp;knama=&amp;asc=0000000001&amp;urut=9" TargetMode="External"/><Relationship Id="rId33" Type="http://schemas.openxmlformats.org/officeDocument/2006/relationships/hyperlink" Target="https://www.andrafarm.com/_andra.php?_i=daftar-tkpi&amp;kmakan=AP040" TargetMode="External"/><Relationship Id="rId38" Type="http://schemas.openxmlformats.org/officeDocument/2006/relationships/hyperlink" Target="https://www.andrafarm.com/_andra.php?_i=daftar-tkpi&amp;kmakan=AP086" TargetMode="External"/><Relationship Id="rId59" Type="http://schemas.openxmlformats.org/officeDocument/2006/relationships/hyperlink" Target="https://www.andrafarm.com/_andra.php?_i=daftar-tkpi&amp;kmakan=BP002" TargetMode="External"/><Relationship Id="rId103" Type="http://schemas.openxmlformats.org/officeDocument/2006/relationships/hyperlink" Target="https://www.andrafarm.com/_andra.php?_i=daftar-tkpi&amp;kmakan=BP036" TargetMode="External"/><Relationship Id="rId108" Type="http://schemas.openxmlformats.org/officeDocument/2006/relationships/hyperlink" Target="https://www.andrafarm.com/_andra.php?_i=daftar-tkpi&amp;kmakan=BP039" TargetMode="External"/><Relationship Id="rId124" Type="http://schemas.openxmlformats.org/officeDocument/2006/relationships/hyperlink" Target="https://www.andrafarm.com/_andra.php?_i=daftar-tkpi&amp;kmakan=BP047" TargetMode="External"/><Relationship Id="rId129" Type="http://schemas.openxmlformats.org/officeDocument/2006/relationships/hyperlink" Target="https://www.andrafarm.com/_andra.php?_i=daftar-tkpi&amp;kmakan=BP054" TargetMode="External"/><Relationship Id="rId54" Type="http://schemas.openxmlformats.org/officeDocument/2006/relationships/hyperlink" Target="https://www.andrafarm.com/_andra.php?_i=daftar-tkpi&amp;kmakan=BP001" TargetMode="External"/><Relationship Id="rId70" Type="http://schemas.openxmlformats.org/officeDocument/2006/relationships/hyperlink" Target="https://www.andrafarm.com/_andra.php?_i=daftar-tkpi&amp;kmakan=BP004" TargetMode="External"/><Relationship Id="rId75" Type="http://schemas.openxmlformats.org/officeDocument/2006/relationships/hyperlink" Target="https://www.andrafarm.com/_andra.php?_i=daftar-tkpi&amp;kmakan=BP008" TargetMode="External"/><Relationship Id="rId91" Type="http://schemas.openxmlformats.org/officeDocument/2006/relationships/hyperlink" Target="https://www.andrafarm.com/_andra.php?_i=daftar-tkpi&amp;kmakan=BR030" TargetMode="External"/><Relationship Id="rId96" Type="http://schemas.openxmlformats.org/officeDocument/2006/relationships/hyperlink" Target="https://www.andrafarm.com/_andra.php?_i=daftar-tkpi&amp;kmakan=BR031" TargetMode="External"/><Relationship Id="rId140" Type="http://schemas.openxmlformats.org/officeDocument/2006/relationships/hyperlink" Target="https://www.andrafarm.com/_andra.php?_i=daftar-tkpi&amp;kmakan=CP007" TargetMode="External"/><Relationship Id="rId1" Type="http://schemas.openxmlformats.org/officeDocument/2006/relationships/hyperlink" Target="https://www.andrafarm.com/_andra.php?_i=daftar-tkpi&amp;jobs=&amp;perhal=40&amp;sby=&amp;knama=&amp;asc=0010000000&amp;urut=2" TargetMode="External"/><Relationship Id="rId6" Type="http://schemas.openxmlformats.org/officeDocument/2006/relationships/hyperlink" Target="https://www.andrafarm.com/_andra.php?_i=daftar-tkpi&amp;jobs=&amp;perhal=40&amp;sby=&amp;knama=&amp;asc=0000100000&amp;urut=14" TargetMode="External"/><Relationship Id="rId23" Type="http://schemas.openxmlformats.org/officeDocument/2006/relationships/hyperlink" Target="https://www.andrafarm.com/_andra.php?_i=daftar-tkpi&amp;kmakan=AP001" TargetMode="External"/><Relationship Id="rId28" Type="http://schemas.openxmlformats.org/officeDocument/2006/relationships/hyperlink" Target="https://www.andrafarm.com/_andra.php?_i=daftar-tkpi&amp;kmakan=AP029" TargetMode="External"/><Relationship Id="rId49" Type="http://schemas.openxmlformats.org/officeDocument/2006/relationships/hyperlink" Target="https://www.andrafarm.com/_andra.php?_i=daftar-tkpi&amp;kmakan=AR005" TargetMode="External"/><Relationship Id="rId114" Type="http://schemas.openxmlformats.org/officeDocument/2006/relationships/hyperlink" Target="https://www.andrafarm.com/_andra.php?_i=daftar-tkpi&amp;kmakan=BP040" TargetMode="External"/><Relationship Id="rId119" Type="http://schemas.openxmlformats.org/officeDocument/2006/relationships/hyperlink" Target="https://www.andrafarm.com/_andra.php?_i=daftar-tkpi&amp;kmakan=BP045" TargetMode="External"/><Relationship Id="rId44" Type="http://schemas.openxmlformats.org/officeDocument/2006/relationships/hyperlink" Target="https://www.andrafarm.com/_andra.php?_i=daftar-tkpi&amp;kmakan=AR001" TargetMode="External"/><Relationship Id="rId60" Type="http://schemas.openxmlformats.org/officeDocument/2006/relationships/hyperlink" Target="https://www.andrafarm.com/_andra.php?_i=daftar-tkpi&amp;kmakan=BP002" TargetMode="External"/><Relationship Id="rId65" Type="http://schemas.openxmlformats.org/officeDocument/2006/relationships/hyperlink" Target="https://www.andrafarm.com/_andra.php?_i=daftar-tkpi&amp;kmakan=BP003" TargetMode="External"/><Relationship Id="rId81" Type="http://schemas.openxmlformats.org/officeDocument/2006/relationships/hyperlink" Target="https://www.andrafarm.com/_andra.php?_i=daftar-tkpi&amp;kmakan=BP011" TargetMode="External"/><Relationship Id="rId86" Type="http://schemas.openxmlformats.org/officeDocument/2006/relationships/hyperlink" Target="https://www.andrafarm.com/_andra.php?_i=daftar-tkpi&amp;kmakan=BP012" TargetMode="External"/><Relationship Id="rId130" Type="http://schemas.openxmlformats.org/officeDocument/2006/relationships/hyperlink" Target="https://www.andrafarm.com/_andra.php?_i=daftar-tkpi&amp;kmakan=CP005" TargetMode="External"/><Relationship Id="rId135" Type="http://schemas.openxmlformats.org/officeDocument/2006/relationships/hyperlink" Target="https://www.andrafarm.com/_andra.php?_i=daftar-tkpi&amp;kmakan=CP006" TargetMode="External"/><Relationship Id="rId13" Type="http://schemas.openxmlformats.org/officeDocument/2006/relationships/hyperlink" Target="https://www.andrafarm.com/_andra.php?_i=daftar-tkpi&amp;jobs=&amp;perhal=40&amp;sby=&amp;knama=&amp;asc=0010000000&amp;urut=2" TargetMode="External"/><Relationship Id="rId18" Type="http://schemas.openxmlformats.org/officeDocument/2006/relationships/hyperlink" Target="https://www.andrafarm.com/_andra.php?_i=daftar-tkpi&amp;jobs=&amp;perhal=40&amp;sby=&amp;knama=&amp;asc=0000100000&amp;urut=14" TargetMode="External"/><Relationship Id="rId39" Type="http://schemas.openxmlformats.org/officeDocument/2006/relationships/hyperlink" Target="https://www.andrafarm.com/_andra.php?_i=daftar-tkpi&amp;kmakan=AP086" TargetMode="External"/><Relationship Id="rId109" Type="http://schemas.openxmlformats.org/officeDocument/2006/relationships/hyperlink" Target="https://www.andrafarm.com/_andra.php?_i=daftar-tkpi&amp;kmakan=BP039" TargetMode="External"/><Relationship Id="rId34" Type="http://schemas.openxmlformats.org/officeDocument/2006/relationships/hyperlink" Target="https://www.andrafarm.com/_andra.php?_i=daftar-tkpi&amp;kmakan=AP040" TargetMode="External"/><Relationship Id="rId50" Type="http://schemas.openxmlformats.org/officeDocument/2006/relationships/hyperlink" Target="https://www.andrafarm.com/_andra.php?_i=daftar-tkpi&amp;kmakan=AR005" TargetMode="External"/><Relationship Id="rId55" Type="http://schemas.openxmlformats.org/officeDocument/2006/relationships/hyperlink" Target="https://www.andrafarm.com/_andra.php?_i=daftar-tkpi&amp;kmakan=BP001" TargetMode="External"/><Relationship Id="rId76" Type="http://schemas.openxmlformats.org/officeDocument/2006/relationships/hyperlink" Target="https://www.andrafarm.com/_andra.php?_i=daftar-tkpi&amp;kmakan=BP008" TargetMode="External"/><Relationship Id="rId97" Type="http://schemas.openxmlformats.org/officeDocument/2006/relationships/hyperlink" Target="https://www.andrafarm.com/_andra.php?_i=daftar-tkpi&amp;kmakan=BR031" TargetMode="External"/><Relationship Id="rId104" Type="http://schemas.openxmlformats.org/officeDocument/2006/relationships/hyperlink" Target="https://www.andrafarm.com/_andra.php?_i=daftar-tkpi&amp;kmakan=BP036" TargetMode="External"/><Relationship Id="rId120" Type="http://schemas.openxmlformats.org/officeDocument/2006/relationships/hyperlink" Target="https://www.andrafarm.com/_andra.php?_i=daftar-tkpi&amp;kmakan=BP047" TargetMode="External"/><Relationship Id="rId125" Type="http://schemas.openxmlformats.org/officeDocument/2006/relationships/hyperlink" Target="https://www.andrafarm.com/_andra.php?_i=daftar-tkpi&amp;kmakan=BP054" TargetMode="External"/><Relationship Id="rId141" Type="http://schemas.openxmlformats.org/officeDocument/2006/relationships/hyperlink" Target="https://www.andrafarm.com/_andra.php?_i=daftar-tkpi&amp;kmakan=CP007" TargetMode="External"/><Relationship Id="rId7" Type="http://schemas.openxmlformats.org/officeDocument/2006/relationships/hyperlink" Target="https://www.andrafarm.com/_andra.php?_i=daftar-tkpi&amp;jobs=&amp;perhal=40&amp;sby=&amp;knama=&amp;asc=0010000000&amp;urut=2" TargetMode="External"/><Relationship Id="rId71" Type="http://schemas.openxmlformats.org/officeDocument/2006/relationships/hyperlink" Target="https://www.andrafarm.com/_andra.php?_i=daftar-tkpi&amp;kmakan=BP004" TargetMode="External"/><Relationship Id="rId92" Type="http://schemas.openxmlformats.org/officeDocument/2006/relationships/hyperlink" Target="https://www.andrafarm.com/_andra.php?_i=daftar-tkpi&amp;kmakan=BR030" TargetMode="External"/><Relationship Id="rId2" Type="http://schemas.openxmlformats.org/officeDocument/2006/relationships/hyperlink" Target="https://www.andrafarm.com/_andra.php?_i=daftar-tkpi&amp;jobs=&amp;perhal=40&amp;sby=&amp;knama=&amp;asc=0000001000&amp;urut=6" TargetMode="External"/><Relationship Id="rId29" Type="http://schemas.openxmlformats.org/officeDocument/2006/relationships/hyperlink" Target="https://www.andrafarm.com/_andra.php?_i=daftar-tkpi&amp;kmakan=AP029" TargetMode="External"/><Relationship Id="rId24" Type="http://schemas.openxmlformats.org/officeDocument/2006/relationships/hyperlink" Target="https://www.andrafarm.com/_andra.php?_i=daftar-tkpi&amp;kmakan=AP001" TargetMode="External"/><Relationship Id="rId40" Type="http://schemas.openxmlformats.org/officeDocument/2006/relationships/hyperlink" Target="https://www.andrafarm.com/_andra.php?_i=daftar-tkpi&amp;kmakan=AP086" TargetMode="External"/><Relationship Id="rId45" Type="http://schemas.openxmlformats.org/officeDocument/2006/relationships/hyperlink" Target="https://www.andrafarm.com/_andra.php?_i=daftar-tkpi&amp;kmakan=AR001" TargetMode="External"/><Relationship Id="rId66" Type="http://schemas.openxmlformats.org/officeDocument/2006/relationships/hyperlink" Target="https://www.andrafarm.com/_andra.php?_i=daftar-tkpi&amp;kmakan=BP003" TargetMode="External"/><Relationship Id="rId87" Type="http://schemas.openxmlformats.org/officeDocument/2006/relationships/hyperlink" Target="https://www.andrafarm.com/_andra.php?_i=daftar-tkpi&amp;kmakan=BP012" TargetMode="External"/><Relationship Id="rId110" Type="http://schemas.openxmlformats.org/officeDocument/2006/relationships/hyperlink" Target="https://www.andrafarm.com/_andra.php?_i=daftar-tkpi&amp;kmakan=BP040" TargetMode="External"/><Relationship Id="rId115" Type="http://schemas.openxmlformats.org/officeDocument/2006/relationships/hyperlink" Target="https://www.andrafarm.com/_andra.php?_i=daftar-tkpi&amp;kmakan=BP045" TargetMode="External"/><Relationship Id="rId131" Type="http://schemas.openxmlformats.org/officeDocument/2006/relationships/hyperlink" Target="https://www.andrafarm.com/_andra.php?_i=daftar-tkpi&amp;kmakan=CP005" TargetMode="External"/><Relationship Id="rId136" Type="http://schemas.openxmlformats.org/officeDocument/2006/relationships/hyperlink" Target="https://www.andrafarm.com/_andra.php?_i=daftar-tkpi&amp;kmakan=CP006" TargetMode="External"/><Relationship Id="rId61" Type="http://schemas.openxmlformats.org/officeDocument/2006/relationships/hyperlink" Target="https://www.andrafarm.com/_andra.php?_i=daftar-tkpi&amp;kmakan=BP002" TargetMode="External"/><Relationship Id="rId82" Type="http://schemas.openxmlformats.org/officeDocument/2006/relationships/hyperlink" Target="https://www.andrafarm.com/_andra.php?_i=daftar-tkpi&amp;kmakan=BP011" TargetMode="External"/><Relationship Id="rId19" Type="http://schemas.openxmlformats.org/officeDocument/2006/relationships/hyperlink" Target="https://www.andrafarm.com/_andra.php?_i=daftar-tkpi&amp;jobs=&amp;perhal=40&amp;sby=&amp;knama=&amp;asc=0010000000&amp;urut=2" TargetMode="External"/><Relationship Id="rId14" Type="http://schemas.openxmlformats.org/officeDocument/2006/relationships/hyperlink" Target="https://www.andrafarm.com/_andra.php?_i=daftar-tkpi&amp;jobs=&amp;perhal=40&amp;sby=&amp;knama=&amp;asc=0000001000&amp;urut=6" TargetMode="External"/><Relationship Id="rId30" Type="http://schemas.openxmlformats.org/officeDocument/2006/relationships/hyperlink" Target="https://www.andrafarm.com/_andra.php?_i=daftar-tkpi&amp;kmakan=AP029" TargetMode="External"/><Relationship Id="rId35" Type="http://schemas.openxmlformats.org/officeDocument/2006/relationships/hyperlink" Target="https://www.andrafarm.com/_andra.php?_i=daftar-tkpi&amp;kmakan=AP040" TargetMode="External"/><Relationship Id="rId56" Type="http://schemas.openxmlformats.org/officeDocument/2006/relationships/hyperlink" Target="https://www.andrafarm.com/_andra.php?_i=daftar-tkpi&amp;kmakan=BP001" TargetMode="External"/><Relationship Id="rId77" Type="http://schemas.openxmlformats.org/officeDocument/2006/relationships/hyperlink" Target="https://www.andrafarm.com/_andra.php?_i=daftar-tkpi&amp;kmakan=BP008" TargetMode="External"/><Relationship Id="rId100" Type="http://schemas.openxmlformats.org/officeDocument/2006/relationships/hyperlink" Target="https://www.andrafarm.com/_andra.php?_i=daftar-tkpi&amp;kmakan=BP036" TargetMode="External"/><Relationship Id="rId105" Type="http://schemas.openxmlformats.org/officeDocument/2006/relationships/hyperlink" Target="https://www.andrafarm.com/_andra.php?_i=daftar-tkpi&amp;kmakan=BP039" TargetMode="External"/><Relationship Id="rId126" Type="http://schemas.openxmlformats.org/officeDocument/2006/relationships/hyperlink" Target="https://www.andrafarm.com/_andra.php?_i=daftar-tkpi&amp;kmakan=BP054" TargetMode="External"/><Relationship Id="rId8" Type="http://schemas.openxmlformats.org/officeDocument/2006/relationships/hyperlink" Target="https://www.andrafarm.com/_andra.php?_i=daftar-tkpi&amp;jobs=&amp;perhal=40&amp;sby=&amp;knama=&amp;asc=0000001000&amp;urut=6" TargetMode="External"/><Relationship Id="rId51" Type="http://schemas.openxmlformats.org/officeDocument/2006/relationships/hyperlink" Target="https://www.andrafarm.com/_andra.php?_i=daftar-tkpi&amp;kmakan=AR005" TargetMode="External"/><Relationship Id="rId72" Type="http://schemas.openxmlformats.org/officeDocument/2006/relationships/hyperlink" Target="https://www.andrafarm.com/_andra.php?_i=daftar-tkpi&amp;kmakan=BP004" TargetMode="External"/><Relationship Id="rId93" Type="http://schemas.openxmlformats.org/officeDocument/2006/relationships/hyperlink" Target="https://www.andrafarm.com/_andra.php?_i=daftar-tkpi&amp;kmakan=BR030" TargetMode="External"/><Relationship Id="rId98" Type="http://schemas.openxmlformats.org/officeDocument/2006/relationships/hyperlink" Target="https://www.andrafarm.com/_andra.php?_i=daftar-tkpi&amp;kmakan=BR031" TargetMode="External"/><Relationship Id="rId121" Type="http://schemas.openxmlformats.org/officeDocument/2006/relationships/hyperlink" Target="https://www.andrafarm.com/_andra.php?_i=daftar-tkpi&amp;kmakan=BP047" TargetMode="External"/><Relationship Id="rId142" Type="http://schemas.openxmlformats.org/officeDocument/2006/relationships/hyperlink" Target="https://www.andrafarm.com/_andra.php?_i=daftar-tkpi&amp;kmakan=CP007" TargetMode="External"/><Relationship Id="rId3" Type="http://schemas.openxmlformats.org/officeDocument/2006/relationships/hyperlink" Target="https://www.andrafarm.com/_andra.php?_i=daftar-tkpi&amp;jobs=&amp;perhal=40&amp;sby=&amp;knama=&amp;asc=0000000100&amp;urut=7" TargetMode="External"/><Relationship Id="rId25" Type="http://schemas.openxmlformats.org/officeDocument/2006/relationships/hyperlink" Target="https://www.andrafarm.com/_andra.php?_i=daftar-tkpi&amp;kmakan=AP001" TargetMode="External"/><Relationship Id="rId46" Type="http://schemas.openxmlformats.org/officeDocument/2006/relationships/hyperlink" Target="https://www.andrafarm.com/_andra.php?_i=daftar-tkpi&amp;kmakan=BP036" TargetMode="External"/><Relationship Id="rId67" Type="http://schemas.openxmlformats.org/officeDocument/2006/relationships/hyperlink" Target="https://www.andrafarm.com/_andra.php?_i=daftar-tkpi&amp;kmakan=BP003" TargetMode="External"/><Relationship Id="rId116" Type="http://schemas.openxmlformats.org/officeDocument/2006/relationships/hyperlink" Target="https://www.andrafarm.com/_andra.php?_i=daftar-tkpi&amp;kmakan=BP045" TargetMode="External"/><Relationship Id="rId137" Type="http://schemas.openxmlformats.org/officeDocument/2006/relationships/hyperlink" Target="https://www.andrafarm.com/_andra.php?_i=daftar-tkpi&amp;kmakan=CP006" TargetMode="External"/><Relationship Id="rId20" Type="http://schemas.openxmlformats.org/officeDocument/2006/relationships/hyperlink" Target="https://www.andrafarm.com/_andra.php?_i=daftar-tkpi&amp;jobs=&amp;perhal=40&amp;sby=&amp;knama=&amp;asc=0010000000&amp;urut=2" TargetMode="External"/><Relationship Id="rId41" Type="http://schemas.openxmlformats.org/officeDocument/2006/relationships/hyperlink" Target="https://www.andrafarm.com/_andra.php?_i=daftar-tkpi&amp;kmakan=AR001" TargetMode="External"/><Relationship Id="rId62" Type="http://schemas.openxmlformats.org/officeDocument/2006/relationships/hyperlink" Target="https://www.andrafarm.com/_andra.php?_i=daftar-tkpi&amp;kmakan=BP002" TargetMode="External"/><Relationship Id="rId83" Type="http://schemas.openxmlformats.org/officeDocument/2006/relationships/hyperlink" Target="https://www.andrafarm.com/_andra.php?_i=daftar-tkpi&amp;kmakan=BP011" TargetMode="External"/><Relationship Id="rId88" Type="http://schemas.openxmlformats.org/officeDocument/2006/relationships/hyperlink" Target="https://www.andrafarm.com/_andra.php?_i=daftar-tkpi&amp;kmakan=BP012" TargetMode="External"/><Relationship Id="rId111" Type="http://schemas.openxmlformats.org/officeDocument/2006/relationships/hyperlink" Target="https://www.andrafarm.com/_andra.php?_i=daftar-tkpi&amp;kmakan=BP040" TargetMode="External"/><Relationship Id="rId132" Type="http://schemas.openxmlformats.org/officeDocument/2006/relationships/hyperlink" Target="https://www.andrafarm.com/_andra.php?_i=daftar-tkpi&amp;kmakan=CP005" TargetMode="External"/><Relationship Id="rId15" Type="http://schemas.openxmlformats.org/officeDocument/2006/relationships/hyperlink" Target="https://www.andrafarm.com/_andra.php?_i=daftar-tkpi&amp;jobs=&amp;perhal=40&amp;sby=&amp;knama=&amp;asc=0000000100&amp;urut=7" TargetMode="External"/><Relationship Id="rId36" Type="http://schemas.openxmlformats.org/officeDocument/2006/relationships/hyperlink" Target="https://www.andrafarm.com/_andra.php?_i=daftar-tkpi&amp;kmakan=AP086" TargetMode="External"/><Relationship Id="rId57" Type="http://schemas.openxmlformats.org/officeDocument/2006/relationships/hyperlink" Target="https://www.andrafarm.com/_andra.php?_i=daftar-tkpi&amp;kmakan=BP001" TargetMode="External"/><Relationship Id="rId106" Type="http://schemas.openxmlformats.org/officeDocument/2006/relationships/hyperlink" Target="https://www.andrafarm.com/_andra.php?_i=daftar-tkpi&amp;kmakan=BP039" TargetMode="External"/><Relationship Id="rId127" Type="http://schemas.openxmlformats.org/officeDocument/2006/relationships/hyperlink" Target="https://www.andrafarm.com/_andra.php?_i=daftar-tkpi&amp;kmakan=BP054" TargetMode="External"/><Relationship Id="rId10" Type="http://schemas.openxmlformats.org/officeDocument/2006/relationships/hyperlink" Target="https://www.andrafarm.com/_andra.php?_i=daftar-tkpi&amp;jobs=&amp;perhal=40&amp;sby=&amp;knama=&amp;asc=0000000010&amp;urut=8" TargetMode="External"/><Relationship Id="rId31" Type="http://schemas.openxmlformats.org/officeDocument/2006/relationships/hyperlink" Target="https://www.andrafarm.com/_andra.php?_i=daftar-tkpi&amp;kmakan=AP040" TargetMode="External"/><Relationship Id="rId52" Type="http://schemas.openxmlformats.org/officeDocument/2006/relationships/hyperlink" Target="https://www.andrafarm.com/_andra.php?_i=daftar-tkpi&amp;kmakan=BP040" TargetMode="External"/><Relationship Id="rId73" Type="http://schemas.openxmlformats.org/officeDocument/2006/relationships/hyperlink" Target="https://www.andrafarm.com/_andra.php?_i=daftar-tkpi&amp;kmakan=BP004" TargetMode="External"/><Relationship Id="rId78" Type="http://schemas.openxmlformats.org/officeDocument/2006/relationships/hyperlink" Target="https://www.andrafarm.com/_andra.php?_i=daftar-tkpi&amp;kmakan=BP008" TargetMode="External"/><Relationship Id="rId94" Type="http://schemas.openxmlformats.org/officeDocument/2006/relationships/hyperlink" Target="https://www.andrafarm.com/_andra.php?_i=daftar-tkpi&amp;kmakan=BR030" TargetMode="External"/><Relationship Id="rId99" Type="http://schemas.openxmlformats.org/officeDocument/2006/relationships/hyperlink" Target="https://www.andrafarm.com/_andra.php?_i=daftar-tkpi&amp;kmakan=BR031" TargetMode="External"/><Relationship Id="rId101" Type="http://schemas.openxmlformats.org/officeDocument/2006/relationships/hyperlink" Target="https://www.andrafarm.com/_andra.php?_i=daftar-tkpi&amp;kmakan=BP036" TargetMode="External"/><Relationship Id="rId122" Type="http://schemas.openxmlformats.org/officeDocument/2006/relationships/hyperlink" Target="https://www.andrafarm.com/_andra.php?_i=daftar-tkpi&amp;kmakan=BP047" TargetMode="External"/><Relationship Id="rId143" Type="http://schemas.openxmlformats.org/officeDocument/2006/relationships/hyperlink" Target="https://www.andrafarm.com/_andra.php?_i=daftar-tkpi&amp;kmakan=CP007" TargetMode="External"/><Relationship Id="rId4" Type="http://schemas.openxmlformats.org/officeDocument/2006/relationships/hyperlink" Target="https://www.andrafarm.com/_andra.php?_i=daftar-tkpi&amp;jobs=&amp;perhal=40&amp;sby=&amp;knama=&amp;asc=0000000010&amp;urut=8" TargetMode="External"/><Relationship Id="rId9" Type="http://schemas.openxmlformats.org/officeDocument/2006/relationships/hyperlink" Target="https://www.andrafarm.com/_andra.php?_i=daftar-tkpi&amp;jobs=&amp;perhal=40&amp;sby=&amp;knama=&amp;asc=0000000100&amp;urut=7" TargetMode="External"/><Relationship Id="rId26" Type="http://schemas.openxmlformats.org/officeDocument/2006/relationships/hyperlink" Target="https://www.andrafarm.com/_andra.php?_i=daftar-tkpi&amp;kmakan=AP029" TargetMode="External"/><Relationship Id="rId47" Type="http://schemas.openxmlformats.org/officeDocument/2006/relationships/hyperlink" Target="https://www.andrafarm.com/_andra.php?_i=daftar-tkpi&amp;kmakan=AR005" TargetMode="External"/><Relationship Id="rId68" Type="http://schemas.openxmlformats.org/officeDocument/2006/relationships/hyperlink" Target="https://www.andrafarm.com/_andra.php?_i=daftar-tkpi&amp;kmakan=BP003" TargetMode="External"/><Relationship Id="rId89" Type="http://schemas.openxmlformats.org/officeDocument/2006/relationships/hyperlink" Target="https://www.andrafarm.com/_andra.php?_i=daftar-tkpi&amp;kmakan=BP012" TargetMode="External"/><Relationship Id="rId112" Type="http://schemas.openxmlformats.org/officeDocument/2006/relationships/hyperlink" Target="https://www.andrafarm.com/_andra.php?_i=daftar-tkpi&amp;kmakan=BP040" TargetMode="External"/><Relationship Id="rId133" Type="http://schemas.openxmlformats.org/officeDocument/2006/relationships/hyperlink" Target="https://www.andrafarm.com/_andra.php?_i=daftar-tkpi&amp;kmakan=CP005" TargetMode="External"/><Relationship Id="rId16" Type="http://schemas.openxmlformats.org/officeDocument/2006/relationships/hyperlink" Target="https://www.andrafarm.com/_andra.php?_i=daftar-tkpi&amp;jobs=&amp;perhal=40&amp;sby=&amp;knama=&amp;asc=0000000010&amp;urut=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05"/>
  <sheetViews>
    <sheetView tabSelected="1" topLeftCell="A58" workbookViewId="0"/>
  </sheetViews>
  <sheetFormatPr defaultColWidth="12.6328125" defaultRowHeight="15.75" customHeight="1"/>
  <cols>
    <col min="2" max="2" width="25.90625" customWidth="1"/>
  </cols>
  <sheetData>
    <row r="1" spans="1:15" ht="15.75" customHeight="1">
      <c r="B1" s="20"/>
    </row>
    <row r="2" spans="1:15" ht="15.75" customHeight="1">
      <c r="B2" s="20"/>
    </row>
    <row r="3" spans="1:15" ht="15.75" customHeight="1">
      <c r="B3" s="20"/>
    </row>
    <row r="4" spans="1:15">
      <c r="B4" s="20"/>
      <c r="C4" s="1"/>
      <c r="D4" s="1"/>
      <c r="E4" s="1"/>
      <c r="F4" s="1"/>
      <c r="G4" s="1"/>
      <c r="J4" s="21"/>
      <c r="K4" s="18"/>
      <c r="L4" s="18"/>
      <c r="M4" s="18"/>
      <c r="N4" s="18"/>
      <c r="O4" s="18"/>
    </row>
    <row r="5" spans="1:15">
      <c r="B5" s="22" t="s">
        <v>8</v>
      </c>
      <c r="C5" s="23" t="s">
        <v>2</v>
      </c>
      <c r="D5" s="23" t="s">
        <v>1</v>
      </c>
      <c r="E5" s="23" t="s">
        <v>0</v>
      </c>
      <c r="F5" s="23" t="s">
        <v>3</v>
      </c>
      <c r="G5" s="17" t="s">
        <v>9</v>
      </c>
      <c r="J5" s="21"/>
      <c r="K5" s="18"/>
      <c r="L5" s="18"/>
      <c r="M5" s="18"/>
      <c r="N5" s="18"/>
      <c r="O5" s="18"/>
    </row>
    <row r="6" spans="1:15">
      <c r="B6" s="20"/>
      <c r="C6" s="3" t="s">
        <v>5</v>
      </c>
      <c r="D6" s="3" t="s">
        <v>5</v>
      </c>
      <c r="E6" s="3" t="s">
        <v>5</v>
      </c>
      <c r="F6" s="3" t="s">
        <v>5</v>
      </c>
      <c r="G6" s="3" t="s">
        <v>6</v>
      </c>
    </row>
    <row r="7" spans="1:15">
      <c r="B7" s="24" t="s">
        <v>10</v>
      </c>
      <c r="C7" s="5">
        <v>3</v>
      </c>
      <c r="D7" s="5">
        <v>0.3</v>
      </c>
      <c r="E7" s="5">
        <v>39.799999999999997</v>
      </c>
      <c r="F7" s="5">
        <v>0.2</v>
      </c>
      <c r="G7" s="5">
        <v>1</v>
      </c>
    </row>
    <row r="8" spans="1:15">
      <c r="B8" s="25" t="s">
        <v>11</v>
      </c>
      <c r="C8" s="5">
        <v>6.9</v>
      </c>
      <c r="D8" s="5">
        <v>14.4</v>
      </c>
      <c r="E8" s="5">
        <v>75.099999999999994</v>
      </c>
      <c r="F8" s="5">
        <v>2.1</v>
      </c>
      <c r="G8" s="5">
        <v>241</v>
      </c>
    </row>
    <row r="9" spans="1:15">
      <c r="B9" s="26" t="s">
        <v>12</v>
      </c>
      <c r="C9" s="5">
        <v>2.2999999999999998</v>
      </c>
      <c r="D9" s="5">
        <v>0.2</v>
      </c>
      <c r="E9" s="5">
        <v>15.6</v>
      </c>
      <c r="F9" s="5">
        <v>8.1999999999999993</v>
      </c>
      <c r="G9" s="5">
        <v>486</v>
      </c>
    </row>
    <row r="10" spans="1:15">
      <c r="B10" s="25" t="s">
        <v>13</v>
      </c>
      <c r="C10" s="5">
        <v>5.3</v>
      </c>
      <c r="D10" s="5">
        <v>3</v>
      </c>
      <c r="E10" s="5">
        <v>16.399999999999999</v>
      </c>
      <c r="F10" s="5">
        <v>0.1</v>
      </c>
      <c r="G10" s="5">
        <v>760</v>
      </c>
    </row>
    <row r="11" spans="1:15">
      <c r="A11" s="8"/>
      <c r="B11" s="27" t="s">
        <v>14</v>
      </c>
      <c r="C11" s="10">
        <v>8.4</v>
      </c>
      <c r="D11" s="10">
        <v>1.7</v>
      </c>
      <c r="E11" s="10">
        <v>77.099999999999994</v>
      </c>
      <c r="F11" s="10">
        <v>0.2</v>
      </c>
      <c r="G11" s="10">
        <v>27</v>
      </c>
      <c r="H11" s="11"/>
      <c r="I11" s="8"/>
    </row>
    <row r="12" spans="1:15">
      <c r="A12" s="8"/>
      <c r="B12" s="28" t="s">
        <v>15</v>
      </c>
      <c r="C12" s="10">
        <v>5.5</v>
      </c>
      <c r="D12" s="10">
        <v>0.1</v>
      </c>
      <c r="E12" s="10">
        <v>82.7</v>
      </c>
      <c r="F12" s="10">
        <v>10</v>
      </c>
      <c r="G12" s="10">
        <v>1</v>
      </c>
      <c r="H12" s="8"/>
      <c r="I12" s="8"/>
    </row>
    <row r="13" spans="1:15">
      <c r="B13" s="26" t="s">
        <v>16</v>
      </c>
      <c r="C13" s="5">
        <v>1.4</v>
      </c>
      <c r="D13" s="5">
        <v>1.1000000000000001</v>
      </c>
      <c r="E13" s="5">
        <v>23.4</v>
      </c>
      <c r="F13" s="5">
        <v>4.5</v>
      </c>
      <c r="G13" s="5">
        <v>12</v>
      </c>
    </row>
    <row r="14" spans="1:15">
      <c r="B14" s="26" t="s">
        <v>17</v>
      </c>
      <c r="C14" s="5">
        <v>1.2</v>
      </c>
      <c r="D14" s="5">
        <v>0.3</v>
      </c>
      <c r="E14" s="5">
        <v>21</v>
      </c>
      <c r="F14" s="5">
        <v>4.0999999999999996</v>
      </c>
      <c r="G14" s="5">
        <v>10</v>
      </c>
    </row>
    <row r="15" spans="1:15">
      <c r="B15" s="26" t="s">
        <v>18</v>
      </c>
      <c r="C15" s="5">
        <v>2.4</v>
      </c>
      <c r="D15" s="5">
        <v>0.4</v>
      </c>
      <c r="E15" s="5">
        <v>42.2</v>
      </c>
      <c r="F15" s="5">
        <v>9.1999999999999993</v>
      </c>
      <c r="G15" s="5">
        <v>20</v>
      </c>
    </row>
    <row r="16" spans="1:15">
      <c r="B16" s="26" t="s">
        <v>19</v>
      </c>
      <c r="C16" s="5">
        <v>1.2</v>
      </c>
      <c r="D16" s="5">
        <v>0.4</v>
      </c>
      <c r="E16" s="5">
        <v>34.200000000000003</v>
      </c>
      <c r="F16" s="5">
        <v>1</v>
      </c>
      <c r="G16" s="5">
        <v>7</v>
      </c>
    </row>
    <row r="17" spans="1:7">
      <c r="B17" s="26" t="s">
        <v>20</v>
      </c>
      <c r="C17" s="5">
        <v>1.2</v>
      </c>
      <c r="D17" s="5">
        <v>0.3</v>
      </c>
      <c r="E17" s="5">
        <v>36.4</v>
      </c>
      <c r="F17" s="5">
        <v>1.3</v>
      </c>
      <c r="G17" s="5">
        <v>2</v>
      </c>
    </row>
    <row r="18" spans="1:7">
      <c r="B18" s="26" t="s">
        <v>21</v>
      </c>
      <c r="C18" s="5">
        <v>0.7</v>
      </c>
      <c r="D18" s="5">
        <v>0.3</v>
      </c>
      <c r="E18" s="5">
        <v>23.8</v>
      </c>
      <c r="F18" s="5">
        <v>1</v>
      </c>
      <c r="G18" s="5">
        <v>3</v>
      </c>
    </row>
    <row r="19" spans="1:7" ht="26">
      <c r="B19" s="26" t="s">
        <v>22</v>
      </c>
      <c r="C19" s="5">
        <v>0.9</v>
      </c>
      <c r="D19" s="5">
        <v>0.2</v>
      </c>
      <c r="E19" s="5">
        <v>39.799999999999997</v>
      </c>
      <c r="F19" s="5">
        <v>1.1000000000000001</v>
      </c>
      <c r="G19" s="5">
        <v>1</v>
      </c>
    </row>
    <row r="20" spans="1:7" ht="13">
      <c r="B20" s="29" t="s">
        <v>23</v>
      </c>
      <c r="C20" s="5">
        <v>1.6</v>
      </c>
      <c r="D20" s="5">
        <v>0.3</v>
      </c>
      <c r="E20" s="5">
        <v>35.4</v>
      </c>
      <c r="F20" s="5">
        <v>0.7</v>
      </c>
      <c r="G20" s="5">
        <v>92</v>
      </c>
    </row>
    <row r="21" spans="1:7" ht="13">
      <c r="B21" s="26" t="s">
        <v>24</v>
      </c>
      <c r="C21" s="5">
        <v>0.4</v>
      </c>
      <c r="D21" s="5">
        <v>0.4</v>
      </c>
      <c r="E21" s="5">
        <v>20.6</v>
      </c>
      <c r="F21" s="5">
        <v>4</v>
      </c>
      <c r="G21" s="5">
        <v>2</v>
      </c>
    </row>
    <row r="22" spans="1:7" ht="13">
      <c r="B22" s="26" t="s">
        <v>25</v>
      </c>
      <c r="C22" s="5">
        <v>2.7</v>
      </c>
      <c r="D22" s="5">
        <v>18.8</v>
      </c>
      <c r="E22" s="5">
        <v>67.099999999999994</v>
      </c>
      <c r="F22" s="5">
        <v>3.8</v>
      </c>
      <c r="G22" s="5">
        <v>712</v>
      </c>
    </row>
    <row r="23" spans="1:7" ht="13">
      <c r="B23" s="25" t="s">
        <v>26</v>
      </c>
      <c r="C23" s="5">
        <v>0.2</v>
      </c>
      <c r="D23" s="5">
        <v>23.9</v>
      </c>
      <c r="E23" s="5">
        <v>67.599999999999994</v>
      </c>
      <c r="F23" s="5">
        <v>14.3</v>
      </c>
      <c r="G23" s="5">
        <v>52</v>
      </c>
    </row>
    <row r="24" spans="1:7" ht="13">
      <c r="B24" s="26" t="s">
        <v>27</v>
      </c>
      <c r="C24" s="5">
        <v>6.9</v>
      </c>
      <c r="D24" s="5">
        <v>14.6</v>
      </c>
      <c r="E24" s="5">
        <v>71.3</v>
      </c>
      <c r="F24" s="5">
        <v>5</v>
      </c>
      <c r="G24" s="5">
        <v>837</v>
      </c>
    </row>
    <row r="25" spans="1:7" ht="13">
      <c r="B25" s="26" t="s">
        <v>28</v>
      </c>
      <c r="C25" s="5">
        <v>4.7</v>
      </c>
      <c r="D25" s="5">
        <v>20.5</v>
      </c>
      <c r="E25" s="5">
        <v>68.5</v>
      </c>
      <c r="F25" s="5">
        <v>5</v>
      </c>
      <c r="G25" s="5">
        <v>449</v>
      </c>
    </row>
    <row r="26" spans="1:7" ht="13">
      <c r="B26" s="26" t="s">
        <v>29</v>
      </c>
      <c r="C26" s="5">
        <v>1.2</v>
      </c>
      <c r="D26" s="5">
        <v>0.5</v>
      </c>
      <c r="E26" s="5">
        <v>53.2</v>
      </c>
      <c r="F26" s="5">
        <v>2.4</v>
      </c>
      <c r="G26" s="5">
        <v>3</v>
      </c>
    </row>
    <row r="27" spans="1:7" ht="13">
      <c r="B27" s="26" t="s">
        <v>30</v>
      </c>
      <c r="C27" s="5">
        <v>0.2</v>
      </c>
      <c r="D27" s="5">
        <v>0.1</v>
      </c>
      <c r="E27" s="5">
        <v>14.9</v>
      </c>
      <c r="F27" s="5">
        <v>0.5</v>
      </c>
      <c r="G27" s="5">
        <v>4</v>
      </c>
    </row>
    <row r="28" spans="1:7" ht="13">
      <c r="B28" s="25" t="s">
        <v>31</v>
      </c>
      <c r="C28" s="5">
        <v>8.6999999999999993</v>
      </c>
      <c r="D28" s="5">
        <v>0.5</v>
      </c>
      <c r="E28" s="5">
        <v>18.3</v>
      </c>
      <c r="F28" s="5">
        <v>1.5</v>
      </c>
      <c r="G28" s="5">
        <v>447</v>
      </c>
    </row>
    <row r="29" spans="1:7" ht="13">
      <c r="B29" s="26" t="s">
        <v>32</v>
      </c>
      <c r="C29" s="5">
        <v>32.200000000000003</v>
      </c>
      <c r="D29" s="5">
        <v>37.700000000000003</v>
      </c>
      <c r="E29" s="5">
        <v>22.9</v>
      </c>
      <c r="F29" s="5">
        <v>7.6</v>
      </c>
      <c r="G29" s="5">
        <v>3.492</v>
      </c>
    </row>
    <row r="30" spans="1:7" ht="13">
      <c r="A30" s="14"/>
      <c r="B30" s="26" t="s">
        <v>33</v>
      </c>
      <c r="C30" s="5">
        <v>20.2</v>
      </c>
      <c r="D30" s="5">
        <v>8.1999999999999993</v>
      </c>
      <c r="E30" s="5">
        <v>12.7</v>
      </c>
      <c r="F30" s="5">
        <v>1.6</v>
      </c>
      <c r="G30" s="5">
        <v>181</v>
      </c>
    </row>
    <row r="31" spans="1:7" ht="13">
      <c r="B31" s="26" t="s">
        <v>34</v>
      </c>
      <c r="C31" s="15">
        <v>10.3</v>
      </c>
      <c r="D31" s="15">
        <v>0.9</v>
      </c>
      <c r="E31" s="15">
        <v>28.2</v>
      </c>
      <c r="F31" s="15">
        <v>2.6</v>
      </c>
      <c r="G31" s="15">
        <v>6</v>
      </c>
    </row>
    <row r="32" spans="1:7" ht="13">
      <c r="B32" s="25" t="s">
        <v>35</v>
      </c>
      <c r="C32" s="15">
        <v>10</v>
      </c>
      <c r="D32" s="15">
        <v>1</v>
      </c>
      <c r="E32" s="15">
        <v>24.7</v>
      </c>
      <c r="F32" s="15">
        <v>3.5</v>
      </c>
      <c r="G32" s="15">
        <v>6</v>
      </c>
    </row>
    <row r="33" spans="2:7" ht="26">
      <c r="B33" s="26" t="s">
        <v>36</v>
      </c>
      <c r="C33" s="15">
        <v>20.399999999999999</v>
      </c>
      <c r="D33" s="15">
        <v>56.3</v>
      </c>
      <c r="E33" s="15">
        <v>19.8</v>
      </c>
      <c r="F33" s="15">
        <v>1.1000000000000001</v>
      </c>
      <c r="G33" s="15">
        <v>13</v>
      </c>
    </row>
    <row r="34" spans="2:7" ht="13">
      <c r="B34" s="26" t="s">
        <v>37</v>
      </c>
      <c r="C34" s="15">
        <v>13.5</v>
      </c>
      <c r="D34" s="15">
        <v>31.2</v>
      </c>
      <c r="E34" s="15">
        <v>12.8</v>
      </c>
      <c r="F34" s="16" t="s">
        <v>7</v>
      </c>
      <c r="G34" s="15">
        <v>32</v>
      </c>
    </row>
    <row r="35" spans="2:7" ht="13">
      <c r="B35" s="26" t="s">
        <v>38</v>
      </c>
      <c r="C35" s="15">
        <v>2.6</v>
      </c>
      <c r="D35" s="15">
        <v>8.6</v>
      </c>
      <c r="E35" s="15">
        <v>70</v>
      </c>
      <c r="F35" s="15">
        <v>0.5</v>
      </c>
      <c r="G35" s="15">
        <v>48</v>
      </c>
    </row>
    <row r="36" spans="2:7" ht="13">
      <c r="B36" s="26" t="s">
        <v>39</v>
      </c>
      <c r="C36" s="15">
        <v>17.8</v>
      </c>
      <c r="D36" s="15">
        <v>4.5999999999999996</v>
      </c>
      <c r="E36" s="15">
        <v>60.7</v>
      </c>
      <c r="F36" s="16" t="s">
        <v>7</v>
      </c>
      <c r="G36" s="15">
        <v>24</v>
      </c>
    </row>
    <row r="37" spans="2:7" ht="26">
      <c r="B37" s="26" t="s">
        <v>40</v>
      </c>
      <c r="C37" s="15">
        <v>27</v>
      </c>
      <c r="D37" s="15">
        <v>49</v>
      </c>
      <c r="E37" s="15">
        <v>20.9</v>
      </c>
      <c r="F37" s="15">
        <v>1.6</v>
      </c>
      <c r="G37" s="15">
        <v>355</v>
      </c>
    </row>
    <row r="38" spans="2:7" ht="13">
      <c r="B38" s="26" t="s">
        <v>41</v>
      </c>
      <c r="C38" s="15">
        <v>30.6</v>
      </c>
      <c r="D38" s="15">
        <v>42.1</v>
      </c>
      <c r="E38" s="15">
        <v>13.8</v>
      </c>
      <c r="F38" s="15">
        <v>13.6</v>
      </c>
      <c r="G38" s="15">
        <v>124</v>
      </c>
    </row>
    <row r="39" spans="2:7" ht="13">
      <c r="B39" s="26" t="s">
        <v>42</v>
      </c>
      <c r="C39" s="15">
        <v>8</v>
      </c>
      <c r="D39" s="15">
        <v>10</v>
      </c>
      <c r="E39" s="15">
        <v>1.3</v>
      </c>
      <c r="F39" s="15">
        <v>0.2</v>
      </c>
      <c r="G39" s="15">
        <v>393</v>
      </c>
    </row>
    <row r="40" spans="2:7" ht="13">
      <c r="B40" s="25" t="s">
        <v>43</v>
      </c>
      <c r="C40" s="15">
        <v>2.1</v>
      </c>
      <c r="D40" s="15">
        <v>0.6</v>
      </c>
      <c r="E40" s="15">
        <v>12.5</v>
      </c>
      <c r="F40" s="15">
        <v>5.7</v>
      </c>
      <c r="G40" s="15">
        <v>124</v>
      </c>
    </row>
    <row r="41" spans="2:7" ht="13">
      <c r="B41" s="26" t="s">
        <v>44</v>
      </c>
      <c r="C41" s="15">
        <v>3.5</v>
      </c>
      <c r="D41" s="15">
        <v>2.5</v>
      </c>
      <c r="E41" s="15">
        <v>5</v>
      </c>
      <c r="F41" s="15">
        <v>0.2</v>
      </c>
      <c r="G41" s="15">
        <v>128</v>
      </c>
    </row>
    <row r="42" spans="2:7" ht="13">
      <c r="B42" s="26" t="s">
        <v>45</v>
      </c>
      <c r="C42" s="15">
        <v>9.6999999999999993</v>
      </c>
      <c r="D42" s="15">
        <v>8.5</v>
      </c>
      <c r="E42" s="15">
        <v>2.5</v>
      </c>
      <c r="F42" s="15">
        <v>0.1</v>
      </c>
      <c r="G42" s="15">
        <v>7</v>
      </c>
    </row>
    <row r="43" spans="2:7" ht="13">
      <c r="B43" s="25" t="s">
        <v>46</v>
      </c>
      <c r="C43" s="15">
        <v>12.6</v>
      </c>
      <c r="D43" s="15">
        <v>19.899999999999999</v>
      </c>
      <c r="E43" s="15">
        <v>24.6</v>
      </c>
      <c r="F43" s="15">
        <v>0.4</v>
      </c>
      <c r="G43" s="15">
        <v>755</v>
      </c>
    </row>
    <row r="44" spans="2:7" ht="13">
      <c r="B44" s="26" t="s">
        <v>47</v>
      </c>
      <c r="C44" s="15">
        <v>20</v>
      </c>
      <c r="D44" s="15">
        <v>28</v>
      </c>
      <c r="E44" s="15">
        <v>7.8</v>
      </c>
      <c r="F44" s="15">
        <v>3.4</v>
      </c>
      <c r="G44" s="15">
        <v>20</v>
      </c>
    </row>
    <row r="45" spans="2:7" ht="39">
      <c r="B45" s="26" t="s">
        <v>48</v>
      </c>
      <c r="C45" s="15">
        <v>2.82</v>
      </c>
      <c r="D45" s="15">
        <v>3.2</v>
      </c>
      <c r="E45" s="15">
        <v>22.03</v>
      </c>
      <c r="F45" s="15">
        <v>0.6</v>
      </c>
      <c r="G45" s="15">
        <v>364</v>
      </c>
    </row>
    <row r="46" spans="2:7" ht="13">
      <c r="B46" s="26" t="s">
        <v>49</v>
      </c>
      <c r="C46" s="15">
        <v>1.96</v>
      </c>
      <c r="D46" s="15">
        <v>9.4</v>
      </c>
      <c r="E46" s="15">
        <v>16.18</v>
      </c>
      <c r="F46" s="15">
        <v>1.3</v>
      </c>
      <c r="G46" s="15">
        <v>329</v>
      </c>
    </row>
    <row r="47" spans="2:7" ht="26">
      <c r="B47" s="26" t="s">
        <v>50</v>
      </c>
      <c r="C47" s="15">
        <v>4.37</v>
      </c>
      <c r="D47" s="15">
        <v>2.78</v>
      </c>
      <c r="E47" s="15">
        <v>12.7</v>
      </c>
      <c r="F47" s="15">
        <v>1.6</v>
      </c>
      <c r="G47" s="15">
        <v>238</v>
      </c>
    </row>
    <row r="48" spans="2:7" ht="26">
      <c r="B48" s="25" t="s">
        <v>51</v>
      </c>
      <c r="C48" s="15">
        <v>0.28000000000000003</v>
      </c>
      <c r="D48" s="15">
        <v>0.32</v>
      </c>
      <c r="E48" s="15">
        <v>12.31</v>
      </c>
      <c r="F48" s="15">
        <v>1.3</v>
      </c>
      <c r="G48" s="15">
        <v>3</v>
      </c>
    </row>
    <row r="49" spans="2:7" ht="13">
      <c r="B49" s="26" t="s">
        <v>52</v>
      </c>
      <c r="C49" s="15">
        <v>0.26</v>
      </c>
      <c r="D49" s="15">
        <v>0.17</v>
      </c>
      <c r="E49" s="15">
        <v>13.81</v>
      </c>
      <c r="F49" s="15">
        <v>2.4</v>
      </c>
      <c r="G49" s="15">
        <v>1</v>
      </c>
    </row>
    <row r="50" spans="2:7" ht="26">
      <c r="B50" s="26" t="s">
        <v>53</v>
      </c>
      <c r="C50" s="15">
        <v>2</v>
      </c>
      <c r="D50" s="15">
        <v>14.66</v>
      </c>
      <c r="E50" s="15">
        <v>8.5299999999999994</v>
      </c>
      <c r="F50" s="15">
        <v>6.7</v>
      </c>
      <c r="G50" s="15">
        <v>7</v>
      </c>
    </row>
    <row r="51" spans="2:7" ht="13">
      <c r="B51" s="26" t="s">
        <v>54</v>
      </c>
      <c r="C51" s="15">
        <v>1.67</v>
      </c>
      <c r="D51" s="15">
        <v>1.17</v>
      </c>
      <c r="E51" s="15">
        <v>18.7</v>
      </c>
      <c r="F51" s="15">
        <v>4</v>
      </c>
      <c r="G51" s="15">
        <v>3</v>
      </c>
    </row>
    <row r="52" spans="2:7" ht="13">
      <c r="B52" s="25" t="s">
        <v>55</v>
      </c>
      <c r="C52" s="15">
        <v>2.5499999999999998</v>
      </c>
      <c r="D52" s="15">
        <v>0.95</v>
      </c>
      <c r="E52" s="15">
        <v>14.32</v>
      </c>
      <c r="F52" s="15">
        <v>5.4</v>
      </c>
      <c r="G52" s="19">
        <v>2</v>
      </c>
    </row>
    <row r="53" spans="2:7" ht="13">
      <c r="B53" s="26" t="s">
        <v>56</v>
      </c>
      <c r="C53" s="15">
        <v>0.47</v>
      </c>
      <c r="D53" s="15">
        <v>0.26</v>
      </c>
      <c r="E53" s="15">
        <v>10.82</v>
      </c>
      <c r="F53" s="15">
        <v>1.7</v>
      </c>
      <c r="G53" s="15">
        <v>8</v>
      </c>
    </row>
    <row r="54" spans="2:7" ht="13">
      <c r="B54" s="26" t="s">
        <v>57</v>
      </c>
      <c r="C54" s="15">
        <v>0.36</v>
      </c>
      <c r="D54" s="15">
        <v>0.14000000000000001</v>
      </c>
      <c r="E54" s="15">
        <v>15.23</v>
      </c>
      <c r="F54" s="15">
        <v>3.1</v>
      </c>
      <c r="G54" s="15">
        <v>1</v>
      </c>
    </row>
    <row r="55" spans="2:7" ht="13">
      <c r="B55" s="25" t="s">
        <v>58</v>
      </c>
      <c r="C55" s="15">
        <v>1.0900000000000001</v>
      </c>
      <c r="D55" s="15">
        <v>0.33</v>
      </c>
      <c r="E55" s="15">
        <v>22.84</v>
      </c>
      <c r="F55" s="15">
        <v>2.6</v>
      </c>
      <c r="G55" s="15">
        <v>1</v>
      </c>
    </row>
    <row r="56" spans="2:7" ht="65">
      <c r="B56" s="26" t="s">
        <v>59</v>
      </c>
      <c r="C56" s="15">
        <v>0.41</v>
      </c>
      <c r="D56" s="15">
        <v>0.1</v>
      </c>
      <c r="E56" s="15">
        <v>22.36</v>
      </c>
      <c r="F56" s="15">
        <v>1.3</v>
      </c>
      <c r="G56" s="15">
        <v>2</v>
      </c>
    </row>
    <row r="57" spans="2:7" ht="52">
      <c r="B57" s="26" t="s">
        <v>60</v>
      </c>
      <c r="C57" s="15">
        <v>4.01</v>
      </c>
      <c r="D57" s="15">
        <v>0.87</v>
      </c>
      <c r="E57" s="15">
        <v>4.8</v>
      </c>
      <c r="F57" s="15">
        <v>3.7</v>
      </c>
      <c r="G57" s="15">
        <v>322</v>
      </c>
    </row>
    <row r="58" spans="2:7" ht="52">
      <c r="B58" s="26" t="s">
        <v>61</v>
      </c>
      <c r="C58" s="15">
        <v>4.01</v>
      </c>
      <c r="D58" s="15">
        <v>0.87</v>
      </c>
      <c r="E58" s="15">
        <v>4.8</v>
      </c>
      <c r="F58" s="15">
        <v>3.7</v>
      </c>
      <c r="G58" s="19">
        <v>97</v>
      </c>
    </row>
    <row r="59" spans="2:7" ht="12.5">
      <c r="B59" s="20"/>
    </row>
    <row r="60" spans="2:7" ht="12.5">
      <c r="B60" s="20"/>
    </row>
    <row r="61" spans="2:7" ht="12.5">
      <c r="B61" s="20"/>
    </row>
    <row r="62" spans="2:7" ht="12.5">
      <c r="B62" s="20"/>
    </row>
    <row r="63" spans="2:7" ht="12.5">
      <c r="B63" s="20"/>
    </row>
    <row r="64" spans="2:7" ht="12.5">
      <c r="B64" s="20"/>
    </row>
    <row r="65" spans="2:2" ht="12.5">
      <c r="B65" s="20"/>
    </row>
    <row r="66" spans="2:2" ht="12.5">
      <c r="B66" s="20"/>
    </row>
    <row r="67" spans="2:2" ht="12.5">
      <c r="B67" s="20"/>
    </row>
    <row r="68" spans="2:2" ht="12.5">
      <c r="B68" s="20"/>
    </row>
    <row r="69" spans="2:2" ht="12.5">
      <c r="B69" s="20"/>
    </row>
    <row r="70" spans="2:2" ht="12.5">
      <c r="B70" s="20"/>
    </row>
    <row r="71" spans="2:2" ht="12.5">
      <c r="B71" s="20"/>
    </row>
    <row r="72" spans="2:2" ht="12.5">
      <c r="B72" s="20"/>
    </row>
    <row r="73" spans="2:2" ht="12.5">
      <c r="B73" s="20"/>
    </row>
    <row r="74" spans="2:2" ht="12.5">
      <c r="B74" s="20"/>
    </row>
    <row r="75" spans="2:2" ht="12.5">
      <c r="B75" s="20"/>
    </row>
    <row r="76" spans="2:2" ht="12.5">
      <c r="B76" s="20"/>
    </row>
    <row r="77" spans="2:2" ht="12.5">
      <c r="B77" s="20"/>
    </row>
    <row r="78" spans="2:2" ht="12.5">
      <c r="B78" s="20"/>
    </row>
    <row r="79" spans="2:2" ht="12.5">
      <c r="B79" s="20"/>
    </row>
    <row r="80" spans="2:2" ht="12.5">
      <c r="B80" s="20"/>
    </row>
    <row r="81" spans="2:2" ht="12.5">
      <c r="B81" s="20"/>
    </row>
    <row r="82" spans="2:2" ht="12.5">
      <c r="B82" s="20"/>
    </row>
    <row r="83" spans="2:2" ht="12.5">
      <c r="B83" s="20"/>
    </row>
    <row r="84" spans="2:2" ht="12.5">
      <c r="B84" s="20"/>
    </row>
    <row r="85" spans="2:2" ht="12.5">
      <c r="B85" s="20"/>
    </row>
    <row r="86" spans="2:2" ht="12.5">
      <c r="B86" s="20"/>
    </row>
    <row r="87" spans="2:2" ht="12.5">
      <c r="B87" s="20"/>
    </row>
    <row r="88" spans="2:2" ht="12.5">
      <c r="B88" s="20"/>
    </row>
    <row r="89" spans="2:2" ht="12.5">
      <c r="B89" s="20"/>
    </row>
    <row r="90" spans="2:2" ht="12.5">
      <c r="B90" s="20"/>
    </row>
    <row r="91" spans="2:2" ht="12.5">
      <c r="B91" s="20"/>
    </row>
    <row r="92" spans="2:2" ht="12.5">
      <c r="B92" s="20"/>
    </row>
    <row r="93" spans="2:2" ht="12.5">
      <c r="B93" s="20"/>
    </row>
    <row r="94" spans="2:2" ht="12.5">
      <c r="B94" s="20"/>
    </row>
    <row r="95" spans="2:2" ht="12.5">
      <c r="B95" s="20"/>
    </row>
    <row r="96" spans="2:2" ht="12.5">
      <c r="B96" s="20"/>
    </row>
    <row r="97" spans="2:2" ht="12.5">
      <c r="B97" s="20"/>
    </row>
    <row r="98" spans="2:2" ht="12.5">
      <c r="B98" s="20"/>
    </row>
    <row r="99" spans="2:2" ht="12.5">
      <c r="B99" s="20"/>
    </row>
    <row r="100" spans="2:2" ht="12.5">
      <c r="B100" s="20"/>
    </row>
    <row r="101" spans="2:2" ht="12.5">
      <c r="B101" s="20"/>
    </row>
    <row r="102" spans="2:2" ht="12.5">
      <c r="B102" s="20"/>
    </row>
    <row r="103" spans="2:2" ht="12.5">
      <c r="B103" s="20"/>
    </row>
    <row r="104" spans="2:2" ht="12.5">
      <c r="B104" s="20"/>
    </row>
    <row r="105" spans="2:2" ht="12.5">
      <c r="B105" s="20"/>
    </row>
    <row r="106" spans="2:2" ht="12.5">
      <c r="B106" s="20"/>
    </row>
    <row r="107" spans="2:2" ht="12.5">
      <c r="B107" s="20"/>
    </row>
    <row r="108" spans="2:2" ht="12.5">
      <c r="B108" s="20"/>
    </row>
    <row r="109" spans="2:2" ht="12.5">
      <c r="B109" s="20"/>
    </row>
    <row r="110" spans="2:2" ht="12.5">
      <c r="B110" s="20"/>
    </row>
    <row r="111" spans="2:2" ht="12.5">
      <c r="B111" s="20"/>
    </row>
    <row r="112" spans="2:2" ht="12.5">
      <c r="B112" s="20"/>
    </row>
    <row r="113" spans="2:2" ht="12.5">
      <c r="B113" s="20"/>
    </row>
    <row r="114" spans="2:2" ht="12.5">
      <c r="B114" s="20"/>
    </row>
    <row r="115" spans="2:2" ht="12.5">
      <c r="B115" s="20"/>
    </row>
    <row r="116" spans="2:2" ht="12.5">
      <c r="B116" s="20"/>
    </row>
    <row r="117" spans="2:2" ht="12.5">
      <c r="B117" s="20"/>
    </row>
    <row r="118" spans="2:2" ht="12.5">
      <c r="B118" s="20"/>
    </row>
    <row r="119" spans="2:2" ht="12.5">
      <c r="B119" s="20"/>
    </row>
    <row r="120" spans="2:2" ht="12.5">
      <c r="B120" s="20"/>
    </row>
    <row r="121" spans="2:2" ht="12.5">
      <c r="B121" s="20"/>
    </row>
    <row r="122" spans="2:2" ht="12.5">
      <c r="B122" s="20"/>
    </row>
    <row r="123" spans="2:2" ht="12.5">
      <c r="B123" s="20"/>
    </row>
    <row r="124" spans="2:2" ht="12.5">
      <c r="B124" s="20"/>
    </row>
    <row r="125" spans="2:2" ht="12.5">
      <c r="B125" s="20"/>
    </row>
    <row r="126" spans="2:2" ht="12.5">
      <c r="B126" s="20"/>
    </row>
    <row r="127" spans="2:2" ht="12.5">
      <c r="B127" s="20"/>
    </row>
    <row r="128" spans="2:2" ht="12.5">
      <c r="B128" s="20"/>
    </row>
    <row r="129" spans="2:2" ht="12.5">
      <c r="B129" s="20"/>
    </row>
    <row r="130" spans="2:2" ht="12.5">
      <c r="B130" s="20"/>
    </row>
    <row r="131" spans="2:2" ht="12.5">
      <c r="B131" s="20"/>
    </row>
    <row r="132" spans="2:2" ht="12.5">
      <c r="B132" s="20"/>
    </row>
    <row r="133" spans="2:2" ht="12.5">
      <c r="B133" s="20"/>
    </row>
    <row r="134" spans="2:2" ht="12.5">
      <c r="B134" s="20"/>
    </row>
    <row r="135" spans="2:2" ht="12.5">
      <c r="B135" s="20"/>
    </row>
    <row r="136" spans="2:2" ht="12.5">
      <c r="B136" s="20"/>
    </row>
    <row r="137" spans="2:2" ht="12.5">
      <c r="B137" s="20"/>
    </row>
    <row r="138" spans="2:2" ht="12.5">
      <c r="B138" s="20"/>
    </row>
    <row r="139" spans="2:2" ht="12.5">
      <c r="B139" s="20"/>
    </row>
    <row r="140" spans="2:2" ht="12.5">
      <c r="B140" s="20"/>
    </row>
    <row r="141" spans="2:2" ht="12.5">
      <c r="B141" s="20"/>
    </row>
    <row r="142" spans="2:2" ht="12.5">
      <c r="B142" s="20"/>
    </row>
    <row r="143" spans="2:2" ht="12.5">
      <c r="B143" s="20"/>
    </row>
    <row r="144" spans="2:2" ht="12.5">
      <c r="B144" s="20"/>
    </row>
    <row r="145" spans="2:2" ht="12.5">
      <c r="B145" s="20"/>
    </row>
    <row r="146" spans="2:2" ht="12.5">
      <c r="B146" s="20"/>
    </row>
    <row r="147" spans="2:2" ht="12.5">
      <c r="B147" s="20"/>
    </row>
    <row r="148" spans="2:2" ht="12.5">
      <c r="B148" s="20"/>
    </row>
    <row r="149" spans="2:2" ht="12.5">
      <c r="B149" s="20"/>
    </row>
    <row r="150" spans="2:2" ht="12.5">
      <c r="B150" s="20"/>
    </row>
    <row r="151" spans="2:2" ht="12.5">
      <c r="B151" s="20"/>
    </row>
    <row r="152" spans="2:2" ht="12.5">
      <c r="B152" s="20"/>
    </row>
    <row r="153" spans="2:2" ht="12.5">
      <c r="B153" s="20"/>
    </row>
    <row r="154" spans="2:2" ht="12.5">
      <c r="B154" s="20"/>
    </row>
    <row r="155" spans="2:2" ht="12.5">
      <c r="B155" s="20"/>
    </row>
    <row r="156" spans="2:2" ht="12.5">
      <c r="B156" s="20"/>
    </row>
    <row r="157" spans="2:2" ht="12.5">
      <c r="B157" s="20"/>
    </row>
    <row r="158" spans="2:2" ht="12.5">
      <c r="B158" s="20"/>
    </row>
    <row r="159" spans="2:2" ht="12.5">
      <c r="B159" s="20"/>
    </row>
    <row r="160" spans="2:2" ht="12.5">
      <c r="B160" s="20"/>
    </row>
    <row r="161" spans="2:2" ht="12.5">
      <c r="B161" s="20"/>
    </row>
    <row r="162" spans="2:2" ht="12.5">
      <c r="B162" s="20"/>
    </row>
    <row r="163" spans="2:2" ht="12.5">
      <c r="B163" s="20"/>
    </row>
    <row r="164" spans="2:2" ht="12.5">
      <c r="B164" s="20"/>
    </row>
    <row r="165" spans="2:2" ht="12.5">
      <c r="B165" s="20"/>
    </row>
    <row r="166" spans="2:2" ht="12.5">
      <c r="B166" s="20"/>
    </row>
    <row r="167" spans="2:2" ht="12.5">
      <c r="B167" s="20"/>
    </row>
    <row r="168" spans="2:2" ht="12.5">
      <c r="B168" s="20"/>
    </row>
    <row r="169" spans="2:2" ht="12.5">
      <c r="B169" s="20"/>
    </row>
    <row r="170" spans="2:2" ht="12.5">
      <c r="B170" s="20"/>
    </row>
    <row r="171" spans="2:2" ht="12.5">
      <c r="B171" s="20"/>
    </row>
    <row r="172" spans="2:2" ht="12.5">
      <c r="B172" s="20"/>
    </row>
    <row r="173" spans="2:2" ht="12.5">
      <c r="B173" s="20"/>
    </row>
    <row r="174" spans="2:2" ht="12.5">
      <c r="B174" s="20"/>
    </row>
    <row r="175" spans="2:2" ht="12.5">
      <c r="B175" s="20"/>
    </row>
    <row r="176" spans="2:2" ht="12.5">
      <c r="B176" s="20"/>
    </row>
    <row r="177" spans="2:2" ht="12.5">
      <c r="B177" s="20"/>
    </row>
    <row r="178" spans="2:2" ht="12.5">
      <c r="B178" s="20"/>
    </row>
    <row r="179" spans="2:2" ht="12.5">
      <c r="B179" s="20"/>
    </row>
    <row r="180" spans="2:2" ht="12.5">
      <c r="B180" s="20"/>
    </row>
    <row r="181" spans="2:2" ht="12.5">
      <c r="B181" s="20"/>
    </row>
    <row r="182" spans="2:2" ht="12.5">
      <c r="B182" s="20"/>
    </row>
    <row r="183" spans="2:2" ht="12.5">
      <c r="B183" s="20"/>
    </row>
    <row r="184" spans="2:2" ht="12.5">
      <c r="B184" s="20"/>
    </row>
    <row r="185" spans="2:2" ht="12.5">
      <c r="B185" s="20"/>
    </row>
    <row r="186" spans="2:2" ht="12.5">
      <c r="B186" s="20"/>
    </row>
    <row r="187" spans="2:2" ht="12.5">
      <c r="B187" s="20"/>
    </row>
    <row r="188" spans="2:2" ht="12.5">
      <c r="B188" s="20"/>
    </row>
    <row r="189" spans="2:2" ht="12.5">
      <c r="B189" s="20"/>
    </row>
    <row r="190" spans="2:2" ht="12.5">
      <c r="B190" s="20"/>
    </row>
    <row r="191" spans="2:2" ht="12.5">
      <c r="B191" s="20"/>
    </row>
    <row r="192" spans="2:2" ht="12.5">
      <c r="B192" s="20"/>
    </row>
    <row r="193" spans="2:2" ht="12.5">
      <c r="B193" s="20"/>
    </row>
    <row r="194" spans="2:2" ht="12.5">
      <c r="B194" s="20"/>
    </row>
    <row r="195" spans="2:2" ht="12.5">
      <c r="B195" s="20"/>
    </row>
    <row r="196" spans="2:2" ht="12.5">
      <c r="B196" s="20"/>
    </row>
    <row r="197" spans="2:2" ht="12.5">
      <c r="B197" s="20"/>
    </row>
    <row r="198" spans="2:2" ht="12.5">
      <c r="B198" s="20"/>
    </row>
    <row r="199" spans="2:2" ht="12.5">
      <c r="B199" s="20"/>
    </row>
    <row r="200" spans="2:2" ht="12.5">
      <c r="B200" s="20"/>
    </row>
    <row r="201" spans="2:2" ht="12.5">
      <c r="B201" s="20"/>
    </row>
    <row r="202" spans="2:2" ht="12.5">
      <c r="B202" s="20"/>
    </row>
    <row r="203" spans="2:2" ht="12.5">
      <c r="B203" s="20"/>
    </row>
    <row r="204" spans="2:2" ht="12.5">
      <c r="B204" s="20"/>
    </row>
    <row r="205" spans="2:2" ht="12.5">
      <c r="B205" s="20"/>
    </row>
    <row r="206" spans="2:2" ht="12.5">
      <c r="B206" s="20"/>
    </row>
    <row r="207" spans="2:2" ht="12.5">
      <c r="B207" s="20"/>
    </row>
    <row r="208" spans="2:2" ht="12.5">
      <c r="B208" s="20"/>
    </row>
    <row r="209" spans="2:2" ht="12.5">
      <c r="B209" s="20"/>
    </row>
    <row r="210" spans="2:2" ht="12.5">
      <c r="B210" s="20"/>
    </row>
    <row r="211" spans="2:2" ht="12.5">
      <c r="B211" s="20"/>
    </row>
    <row r="212" spans="2:2" ht="12.5">
      <c r="B212" s="20"/>
    </row>
    <row r="213" spans="2:2" ht="12.5">
      <c r="B213" s="20"/>
    </row>
    <row r="214" spans="2:2" ht="12.5">
      <c r="B214" s="20"/>
    </row>
    <row r="215" spans="2:2" ht="12.5">
      <c r="B215" s="20"/>
    </row>
    <row r="216" spans="2:2" ht="12.5">
      <c r="B216" s="20"/>
    </row>
    <row r="217" spans="2:2" ht="12.5">
      <c r="B217" s="20"/>
    </row>
    <row r="218" spans="2:2" ht="12.5">
      <c r="B218" s="20"/>
    </row>
    <row r="219" spans="2:2" ht="12.5">
      <c r="B219" s="20"/>
    </row>
    <row r="220" spans="2:2" ht="12.5">
      <c r="B220" s="20"/>
    </row>
    <row r="221" spans="2:2" ht="12.5">
      <c r="B221" s="20"/>
    </row>
    <row r="222" spans="2:2" ht="12.5">
      <c r="B222" s="20"/>
    </row>
    <row r="223" spans="2:2" ht="12.5">
      <c r="B223" s="20"/>
    </row>
    <row r="224" spans="2:2" ht="12.5">
      <c r="B224" s="20"/>
    </row>
    <row r="225" spans="2:2" ht="12.5">
      <c r="B225" s="20"/>
    </row>
    <row r="226" spans="2:2" ht="12.5">
      <c r="B226" s="20"/>
    </row>
    <row r="227" spans="2:2" ht="12.5">
      <c r="B227" s="20"/>
    </row>
    <row r="228" spans="2:2" ht="12.5">
      <c r="B228" s="20"/>
    </row>
    <row r="229" spans="2:2" ht="12.5">
      <c r="B229" s="20"/>
    </row>
    <row r="230" spans="2:2" ht="12.5">
      <c r="B230" s="20"/>
    </row>
    <row r="231" spans="2:2" ht="12.5">
      <c r="B231" s="20"/>
    </row>
    <row r="232" spans="2:2" ht="12.5">
      <c r="B232" s="20"/>
    </row>
    <row r="233" spans="2:2" ht="12.5">
      <c r="B233" s="20"/>
    </row>
    <row r="234" spans="2:2" ht="12.5">
      <c r="B234" s="20"/>
    </row>
    <row r="235" spans="2:2" ht="12.5">
      <c r="B235" s="20"/>
    </row>
    <row r="236" spans="2:2" ht="12.5">
      <c r="B236" s="20"/>
    </row>
    <row r="237" spans="2:2" ht="12.5">
      <c r="B237" s="20"/>
    </row>
    <row r="238" spans="2:2" ht="12.5">
      <c r="B238" s="20"/>
    </row>
    <row r="239" spans="2:2" ht="12.5">
      <c r="B239" s="20"/>
    </row>
    <row r="240" spans="2:2" ht="12.5">
      <c r="B240" s="20"/>
    </row>
    <row r="241" spans="2:2" ht="12.5">
      <c r="B241" s="20"/>
    </row>
    <row r="242" spans="2:2" ht="12.5">
      <c r="B242" s="20"/>
    </row>
    <row r="243" spans="2:2" ht="12.5">
      <c r="B243" s="20"/>
    </row>
    <row r="244" spans="2:2" ht="12.5">
      <c r="B244" s="20"/>
    </row>
    <row r="245" spans="2:2" ht="12.5">
      <c r="B245" s="20"/>
    </row>
    <row r="246" spans="2:2" ht="12.5">
      <c r="B246" s="20"/>
    </row>
    <row r="247" spans="2:2" ht="12.5">
      <c r="B247" s="20"/>
    </row>
    <row r="248" spans="2:2" ht="12.5">
      <c r="B248" s="20"/>
    </row>
    <row r="249" spans="2:2" ht="12.5">
      <c r="B249" s="20"/>
    </row>
    <row r="250" spans="2:2" ht="12.5">
      <c r="B250" s="20"/>
    </row>
    <row r="251" spans="2:2" ht="12.5">
      <c r="B251" s="20"/>
    </row>
    <row r="252" spans="2:2" ht="12.5">
      <c r="B252" s="20"/>
    </row>
    <row r="253" spans="2:2" ht="12.5">
      <c r="B253" s="20"/>
    </row>
    <row r="254" spans="2:2" ht="12.5">
      <c r="B254" s="20"/>
    </row>
    <row r="255" spans="2:2" ht="12.5">
      <c r="B255" s="20"/>
    </row>
    <row r="256" spans="2:2" ht="12.5">
      <c r="B256" s="20"/>
    </row>
    <row r="257" spans="2:2" ht="12.5">
      <c r="B257" s="20"/>
    </row>
    <row r="258" spans="2:2" ht="12.5">
      <c r="B258" s="20"/>
    </row>
    <row r="259" spans="2:2" ht="12.5">
      <c r="B259" s="20"/>
    </row>
    <row r="260" spans="2:2" ht="12.5">
      <c r="B260" s="20"/>
    </row>
    <row r="261" spans="2:2" ht="12.5">
      <c r="B261" s="20"/>
    </row>
    <row r="262" spans="2:2" ht="12.5">
      <c r="B262" s="20"/>
    </row>
    <row r="263" spans="2:2" ht="12.5">
      <c r="B263" s="20"/>
    </row>
    <row r="264" spans="2:2" ht="12.5">
      <c r="B264" s="20"/>
    </row>
    <row r="265" spans="2:2" ht="12.5">
      <c r="B265" s="20"/>
    </row>
    <row r="266" spans="2:2" ht="12.5">
      <c r="B266" s="20"/>
    </row>
    <row r="267" spans="2:2" ht="12.5">
      <c r="B267" s="20"/>
    </row>
    <row r="268" spans="2:2" ht="12.5">
      <c r="B268" s="20"/>
    </row>
    <row r="269" spans="2:2" ht="12.5">
      <c r="B269" s="20"/>
    </row>
    <row r="270" spans="2:2" ht="12.5">
      <c r="B270" s="20"/>
    </row>
    <row r="271" spans="2:2" ht="12.5">
      <c r="B271" s="20"/>
    </row>
    <row r="272" spans="2:2" ht="12.5">
      <c r="B272" s="20"/>
    </row>
    <row r="273" spans="2:2" ht="12.5">
      <c r="B273" s="20"/>
    </row>
    <row r="274" spans="2:2" ht="12.5">
      <c r="B274" s="20"/>
    </row>
    <row r="275" spans="2:2" ht="12.5">
      <c r="B275" s="20"/>
    </row>
    <row r="276" spans="2:2" ht="12.5">
      <c r="B276" s="20"/>
    </row>
    <row r="277" spans="2:2" ht="12.5">
      <c r="B277" s="20"/>
    </row>
    <row r="278" spans="2:2" ht="12.5">
      <c r="B278" s="20"/>
    </row>
    <row r="279" spans="2:2" ht="12.5">
      <c r="B279" s="20"/>
    </row>
    <row r="280" spans="2:2" ht="12.5">
      <c r="B280" s="20"/>
    </row>
    <row r="281" spans="2:2" ht="12.5">
      <c r="B281" s="20"/>
    </row>
    <row r="282" spans="2:2" ht="12.5">
      <c r="B282" s="20"/>
    </row>
    <row r="283" spans="2:2" ht="12.5">
      <c r="B283" s="20"/>
    </row>
    <row r="284" spans="2:2" ht="12.5">
      <c r="B284" s="20"/>
    </row>
    <row r="285" spans="2:2" ht="12.5">
      <c r="B285" s="20"/>
    </row>
    <row r="286" spans="2:2" ht="12.5">
      <c r="B286" s="20"/>
    </row>
    <row r="287" spans="2:2" ht="12.5">
      <c r="B287" s="20"/>
    </row>
    <row r="288" spans="2:2" ht="12.5">
      <c r="B288" s="20"/>
    </row>
    <row r="289" spans="2:2" ht="12.5">
      <c r="B289" s="20"/>
    </row>
    <row r="290" spans="2:2" ht="12.5">
      <c r="B290" s="20"/>
    </row>
    <row r="291" spans="2:2" ht="12.5">
      <c r="B291" s="20"/>
    </row>
    <row r="292" spans="2:2" ht="12.5">
      <c r="B292" s="20"/>
    </row>
    <row r="293" spans="2:2" ht="12.5">
      <c r="B293" s="20"/>
    </row>
    <row r="294" spans="2:2" ht="12.5">
      <c r="B294" s="20"/>
    </row>
    <row r="295" spans="2:2" ht="12.5">
      <c r="B295" s="20"/>
    </row>
    <row r="296" spans="2:2" ht="12.5">
      <c r="B296" s="20"/>
    </row>
    <row r="297" spans="2:2" ht="12.5">
      <c r="B297" s="20"/>
    </row>
    <row r="298" spans="2:2" ht="12.5">
      <c r="B298" s="20"/>
    </row>
    <row r="299" spans="2:2" ht="12.5">
      <c r="B299" s="20"/>
    </row>
    <row r="300" spans="2:2" ht="12.5">
      <c r="B300" s="20"/>
    </row>
    <row r="301" spans="2:2" ht="12.5">
      <c r="B301" s="20"/>
    </row>
    <row r="302" spans="2:2" ht="12.5">
      <c r="B302" s="20"/>
    </row>
    <row r="303" spans="2:2" ht="12.5">
      <c r="B303" s="20"/>
    </row>
    <row r="304" spans="2:2" ht="12.5">
      <c r="B304" s="20"/>
    </row>
    <row r="305" spans="2:2" ht="12.5">
      <c r="B305" s="20"/>
    </row>
    <row r="306" spans="2:2" ht="12.5">
      <c r="B306" s="20"/>
    </row>
    <row r="307" spans="2:2" ht="12.5">
      <c r="B307" s="20"/>
    </row>
    <row r="308" spans="2:2" ht="12.5">
      <c r="B308" s="20"/>
    </row>
    <row r="309" spans="2:2" ht="12.5">
      <c r="B309" s="20"/>
    </row>
    <row r="310" spans="2:2" ht="12.5">
      <c r="B310" s="20"/>
    </row>
    <row r="311" spans="2:2" ht="12.5">
      <c r="B311" s="20"/>
    </row>
    <row r="312" spans="2:2" ht="12.5">
      <c r="B312" s="20"/>
    </row>
    <row r="313" spans="2:2" ht="12.5">
      <c r="B313" s="20"/>
    </row>
    <row r="314" spans="2:2" ht="12.5">
      <c r="B314" s="20"/>
    </row>
    <row r="315" spans="2:2" ht="12.5">
      <c r="B315" s="20"/>
    </row>
    <row r="316" spans="2:2" ht="12.5">
      <c r="B316" s="20"/>
    </row>
    <row r="317" spans="2:2" ht="12.5">
      <c r="B317" s="20"/>
    </row>
    <row r="318" spans="2:2" ht="12.5">
      <c r="B318" s="20"/>
    </row>
    <row r="319" spans="2:2" ht="12.5">
      <c r="B319" s="20"/>
    </row>
    <row r="320" spans="2:2" ht="12.5">
      <c r="B320" s="20"/>
    </row>
    <row r="321" spans="2:2" ht="12.5">
      <c r="B321" s="20"/>
    </row>
    <row r="322" spans="2:2" ht="12.5">
      <c r="B322" s="20"/>
    </row>
    <row r="323" spans="2:2" ht="12.5">
      <c r="B323" s="20"/>
    </row>
    <row r="324" spans="2:2" ht="12.5">
      <c r="B324" s="20"/>
    </row>
    <row r="325" spans="2:2" ht="12.5">
      <c r="B325" s="20"/>
    </row>
    <row r="326" spans="2:2" ht="12.5">
      <c r="B326" s="20"/>
    </row>
    <row r="327" spans="2:2" ht="12.5">
      <c r="B327" s="20"/>
    </row>
    <row r="328" spans="2:2" ht="12.5">
      <c r="B328" s="20"/>
    </row>
    <row r="329" spans="2:2" ht="12.5">
      <c r="B329" s="20"/>
    </row>
    <row r="330" spans="2:2" ht="12.5">
      <c r="B330" s="20"/>
    </row>
    <row r="331" spans="2:2" ht="12.5">
      <c r="B331" s="20"/>
    </row>
    <row r="332" spans="2:2" ht="12.5">
      <c r="B332" s="20"/>
    </row>
    <row r="333" spans="2:2" ht="12.5">
      <c r="B333" s="20"/>
    </row>
    <row r="334" spans="2:2" ht="12.5">
      <c r="B334" s="20"/>
    </row>
    <row r="335" spans="2:2" ht="12.5">
      <c r="B335" s="20"/>
    </row>
    <row r="336" spans="2:2" ht="12.5">
      <c r="B336" s="20"/>
    </row>
    <row r="337" spans="2:2" ht="12.5">
      <c r="B337" s="20"/>
    </row>
    <row r="338" spans="2:2" ht="12.5">
      <c r="B338" s="20"/>
    </row>
    <row r="339" spans="2:2" ht="12.5">
      <c r="B339" s="20"/>
    </row>
    <row r="340" spans="2:2" ht="12.5">
      <c r="B340" s="20"/>
    </row>
    <row r="341" spans="2:2" ht="12.5">
      <c r="B341" s="20"/>
    </row>
    <row r="342" spans="2:2" ht="12.5">
      <c r="B342" s="20"/>
    </row>
    <row r="343" spans="2:2" ht="12.5">
      <c r="B343" s="20"/>
    </row>
    <row r="344" spans="2:2" ht="12.5">
      <c r="B344" s="20"/>
    </row>
    <row r="345" spans="2:2" ht="12.5">
      <c r="B345" s="20"/>
    </row>
    <row r="346" spans="2:2" ht="12.5">
      <c r="B346" s="20"/>
    </row>
    <row r="347" spans="2:2" ht="12.5">
      <c r="B347" s="20"/>
    </row>
    <row r="348" spans="2:2" ht="12.5">
      <c r="B348" s="20"/>
    </row>
    <row r="349" spans="2:2" ht="12.5">
      <c r="B349" s="20"/>
    </row>
    <row r="350" spans="2:2" ht="12.5">
      <c r="B350" s="20"/>
    </row>
    <row r="351" spans="2:2" ht="12.5">
      <c r="B351" s="20"/>
    </row>
    <row r="352" spans="2:2" ht="12.5">
      <c r="B352" s="20"/>
    </row>
    <row r="353" spans="2:2" ht="12.5">
      <c r="B353" s="20"/>
    </row>
    <row r="354" spans="2:2" ht="12.5">
      <c r="B354" s="20"/>
    </row>
    <row r="355" spans="2:2" ht="12.5">
      <c r="B355" s="20"/>
    </row>
    <row r="356" spans="2:2" ht="12.5">
      <c r="B356" s="20"/>
    </row>
    <row r="357" spans="2:2" ht="12.5">
      <c r="B357" s="20"/>
    </row>
    <row r="358" spans="2:2" ht="12.5">
      <c r="B358" s="20"/>
    </row>
    <row r="359" spans="2:2" ht="12.5">
      <c r="B359" s="20"/>
    </row>
    <row r="360" spans="2:2" ht="12.5">
      <c r="B360" s="20"/>
    </row>
    <row r="361" spans="2:2" ht="12.5">
      <c r="B361" s="20"/>
    </row>
    <row r="362" spans="2:2" ht="12.5">
      <c r="B362" s="20"/>
    </row>
    <row r="363" spans="2:2" ht="12.5">
      <c r="B363" s="20"/>
    </row>
    <row r="364" spans="2:2" ht="12.5">
      <c r="B364" s="20"/>
    </row>
    <row r="365" spans="2:2" ht="12.5">
      <c r="B365" s="20"/>
    </row>
    <row r="366" spans="2:2" ht="12.5">
      <c r="B366" s="20"/>
    </row>
    <row r="367" spans="2:2" ht="12.5">
      <c r="B367" s="20"/>
    </row>
    <row r="368" spans="2:2" ht="12.5">
      <c r="B368" s="20"/>
    </row>
    <row r="369" spans="2:2" ht="12.5">
      <c r="B369" s="20"/>
    </row>
    <row r="370" spans="2:2" ht="12.5">
      <c r="B370" s="20"/>
    </row>
    <row r="371" spans="2:2" ht="12.5">
      <c r="B371" s="20"/>
    </row>
    <row r="372" spans="2:2" ht="12.5">
      <c r="B372" s="20"/>
    </row>
    <row r="373" spans="2:2" ht="12.5">
      <c r="B373" s="20"/>
    </row>
    <row r="374" spans="2:2" ht="12.5">
      <c r="B374" s="20"/>
    </row>
    <row r="375" spans="2:2" ht="12.5">
      <c r="B375" s="20"/>
    </row>
    <row r="376" spans="2:2" ht="12.5">
      <c r="B376" s="20"/>
    </row>
    <row r="377" spans="2:2" ht="12.5">
      <c r="B377" s="20"/>
    </row>
    <row r="378" spans="2:2" ht="12.5">
      <c r="B378" s="20"/>
    </row>
    <row r="379" spans="2:2" ht="12.5">
      <c r="B379" s="20"/>
    </row>
    <row r="380" spans="2:2" ht="12.5">
      <c r="B380" s="20"/>
    </row>
    <row r="381" spans="2:2" ht="12.5">
      <c r="B381" s="20"/>
    </row>
    <row r="382" spans="2:2" ht="12.5">
      <c r="B382" s="20"/>
    </row>
    <row r="383" spans="2:2" ht="12.5">
      <c r="B383" s="20"/>
    </row>
    <row r="384" spans="2:2" ht="12.5">
      <c r="B384" s="20"/>
    </row>
    <row r="385" spans="2:2" ht="12.5">
      <c r="B385" s="20"/>
    </row>
    <row r="386" spans="2:2" ht="12.5">
      <c r="B386" s="20"/>
    </row>
    <row r="387" spans="2:2" ht="12.5">
      <c r="B387" s="20"/>
    </row>
    <row r="388" spans="2:2" ht="12.5">
      <c r="B388" s="20"/>
    </row>
    <row r="389" spans="2:2" ht="12.5">
      <c r="B389" s="20"/>
    </row>
    <row r="390" spans="2:2" ht="12.5">
      <c r="B390" s="20"/>
    </row>
    <row r="391" spans="2:2" ht="12.5">
      <c r="B391" s="20"/>
    </row>
    <row r="392" spans="2:2" ht="12.5">
      <c r="B392" s="20"/>
    </row>
    <row r="393" spans="2:2" ht="12.5">
      <c r="B393" s="20"/>
    </row>
    <row r="394" spans="2:2" ht="12.5">
      <c r="B394" s="20"/>
    </row>
    <row r="395" spans="2:2" ht="12.5">
      <c r="B395" s="20"/>
    </row>
    <row r="396" spans="2:2" ht="12.5">
      <c r="B396" s="20"/>
    </row>
    <row r="397" spans="2:2" ht="12.5">
      <c r="B397" s="20"/>
    </row>
    <row r="398" spans="2:2" ht="12.5">
      <c r="B398" s="20"/>
    </row>
    <row r="399" spans="2:2" ht="12.5">
      <c r="B399" s="20"/>
    </row>
    <row r="400" spans="2:2" ht="12.5">
      <c r="B400" s="20"/>
    </row>
    <row r="401" spans="2:2" ht="12.5">
      <c r="B401" s="20"/>
    </row>
    <row r="402" spans="2:2" ht="12.5">
      <c r="B402" s="20"/>
    </row>
    <row r="403" spans="2:2" ht="12.5">
      <c r="B403" s="20"/>
    </row>
    <row r="404" spans="2:2" ht="12.5">
      <c r="B404" s="20"/>
    </row>
    <row r="405" spans="2:2" ht="12.5">
      <c r="B405" s="20"/>
    </row>
    <row r="406" spans="2:2" ht="12.5">
      <c r="B406" s="20"/>
    </row>
    <row r="407" spans="2:2" ht="12.5">
      <c r="B407" s="20"/>
    </row>
    <row r="408" spans="2:2" ht="12.5">
      <c r="B408" s="20"/>
    </row>
    <row r="409" spans="2:2" ht="12.5">
      <c r="B409" s="20"/>
    </row>
    <row r="410" spans="2:2" ht="12.5">
      <c r="B410" s="20"/>
    </row>
    <row r="411" spans="2:2" ht="12.5">
      <c r="B411" s="20"/>
    </row>
    <row r="412" spans="2:2" ht="12.5">
      <c r="B412" s="20"/>
    </row>
    <row r="413" spans="2:2" ht="12.5">
      <c r="B413" s="20"/>
    </row>
    <row r="414" spans="2:2" ht="12.5">
      <c r="B414" s="20"/>
    </row>
    <row r="415" spans="2:2" ht="12.5">
      <c r="B415" s="20"/>
    </row>
    <row r="416" spans="2:2" ht="12.5">
      <c r="B416" s="20"/>
    </row>
    <row r="417" spans="2:2" ht="12.5">
      <c r="B417" s="20"/>
    </row>
    <row r="418" spans="2:2" ht="12.5">
      <c r="B418" s="20"/>
    </row>
    <row r="419" spans="2:2" ht="12.5">
      <c r="B419" s="20"/>
    </row>
    <row r="420" spans="2:2" ht="12.5">
      <c r="B420" s="20"/>
    </row>
    <row r="421" spans="2:2" ht="12.5">
      <c r="B421" s="20"/>
    </row>
    <row r="422" spans="2:2" ht="12.5">
      <c r="B422" s="20"/>
    </row>
    <row r="423" spans="2:2" ht="12.5">
      <c r="B423" s="20"/>
    </row>
    <row r="424" spans="2:2" ht="12.5">
      <c r="B424" s="20"/>
    </row>
    <row r="425" spans="2:2" ht="12.5">
      <c r="B425" s="20"/>
    </row>
    <row r="426" spans="2:2" ht="12.5">
      <c r="B426" s="20"/>
    </row>
    <row r="427" spans="2:2" ht="12.5">
      <c r="B427" s="20"/>
    </row>
    <row r="428" spans="2:2" ht="12.5">
      <c r="B428" s="20"/>
    </row>
    <row r="429" spans="2:2" ht="12.5">
      <c r="B429" s="20"/>
    </row>
    <row r="430" spans="2:2" ht="12.5">
      <c r="B430" s="20"/>
    </row>
    <row r="431" spans="2:2" ht="12.5">
      <c r="B431" s="20"/>
    </row>
    <row r="432" spans="2:2" ht="12.5">
      <c r="B432" s="20"/>
    </row>
    <row r="433" spans="2:2" ht="12.5">
      <c r="B433" s="20"/>
    </row>
    <row r="434" spans="2:2" ht="12.5">
      <c r="B434" s="20"/>
    </row>
    <row r="435" spans="2:2" ht="12.5">
      <c r="B435" s="20"/>
    </row>
    <row r="436" spans="2:2" ht="12.5">
      <c r="B436" s="20"/>
    </row>
    <row r="437" spans="2:2" ht="12.5">
      <c r="B437" s="20"/>
    </row>
    <row r="438" spans="2:2" ht="12.5">
      <c r="B438" s="20"/>
    </row>
    <row r="439" spans="2:2" ht="12.5">
      <c r="B439" s="20"/>
    </row>
    <row r="440" spans="2:2" ht="12.5">
      <c r="B440" s="20"/>
    </row>
    <row r="441" spans="2:2" ht="12.5">
      <c r="B441" s="20"/>
    </row>
    <row r="442" spans="2:2" ht="12.5">
      <c r="B442" s="20"/>
    </row>
    <row r="443" spans="2:2" ht="12.5">
      <c r="B443" s="20"/>
    </row>
    <row r="444" spans="2:2" ht="12.5">
      <c r="B444" s="20"/>
    </row>
    <row r="445" spans="2:2" ht="12.5">
      <c r="B445" s="20"/>
    </row>
    <row r="446" spans="2:2" ht="12.5">
      <c r="B446" s="20"/>
    </row>
    <row r="447" spans="2:2" ht="12.5">
      <c r="B447" s="20"/>
    </row>
    <row r="448" spans="2:2" ht="12.5">
      <c r="B448" s="20"/>
    </row>
    <row r="449" spans="2:2" ht="12.5">
      <c r="B449" s="20"/>
    </row>
    <row r="450" spans="2:2" ht="12.5">
      <c r="B450" s="20"/>
    </row>
    <row r="451" spans="2:2" ht="12.5">
      <c r="B451" s="20"/>
    </row>
    <row r="452" spans="2:2" ht="12.5">
      <c r="B452" s="20"/>
    </row>
    <row r="453" spans="2:2" ht="12.5">
      <c r="B453" s="20"/>
    </row>
    <row r="454" spans="2:2" ht="12.5">
      <c r="B454" s="20"/>
    </row>
    <row r="455" spans="2:2" ht="12.5">
      <c r="B455" s="20"/>
    </row>
    <row r="456" spans="2:2" ht="12.5">
      <c r="B456" s="20"/>
    </row>
    <row r="457" spans="2:2" ht="12.5">
      <c r="B457" s="20"/>
    </row>
    <row r="458" spans="2:2" ht="12.5">
      <c r="B458" s="20"/>
    </row>
    <row r="459" spans="2:2" ht="12.5">
      <c r="B459" s="20"/>
    </row>
    <row r="460" spans="2:2" ht="12.5">
      <c r="B460" s="20"/>
    </row>
    <row r="461" spans="2:2" ht="12.5">
      <c r="B461" s="20"/>
    </row>
    <row r="462" spans="2:2" ht="12.5">
      <c r="B462" s="20"/>
    </row>
    <row r="463" spans="2:2" ht="12.5">
      <c r="B463" s="20"/>
    </row>
    <row r="464" spans="2:2" ht="12.5">
      <c r="B464" s="20"/>
    </row>
    <row r="465" spans="2:2" ht="12.5">
      <c r="B465" s="20"/>
    </row>
    <row r="466" spans="2:2" ht="12.5">
      <c r="B466" s="20"/>
    </row>
    <row r="467" spans="2:2" ht="12.5">
      <c r="B467" s="20"/>
    </row>
    <row r="468" spans="2:2" ht="12.5">
      <c r="B468" s="20"/>
    </row>
    <row r="469" spans="2:2" ht="12.5">
      <c r="B469" s="20"/>
    </row>
    <row r="470" spans="2:2" ht="12.5">
      <c r="B470" s="20"/>
    </row>
    <row r="471" spans="2:2" ht="12.5">
      <c r="B471" s="20"/>
    </row>
    <row r="472" spans="2:2" ht="12.5">
      <c r="B472" s="20"/>
    </row>
    <row r="473" spans="2:2" ht="12.5">
      <c r="B473" s="20"/>
    </row>
    <row r="474" spans="2:2" ht="12.5">
      <c r="B474" s="20"/>
    </row>
    <row r="475" spans="2:2" ht="12.5">
      <c r="B475" s="20"/>
    </row>
    <row r="476" spans="2:2" ht="12.5">
      <c r="B476" s="20"/>
    </row>
    <row r="477" spans="2:2" ht="12.5">
      <c r="B477" s="20"/>
    </row>
    <row r="478" spans="2:2" ht="12.5">
      <c r="B478" s="20"/>
    </row>
    <row r="479" spans="2:2" ht="12.5">
      <c r="B479" s="20"/>
    </row>
    <row r="480" spans="2:2" ht="12.5">
      <c r="B480" s="20"/>
    </row>
    <row r="481" spans="2:2" ht="12.5">
      <c r="B481" s="20"/>
    </row>
    <row r="482" spans="2:2" ht="12.5">
      <c r="B482" s="20"/>
    </row>
    <row r="483" spans="2:2" ht="12.5">
      <c r="B483" s="20"/>
    </row>
    <row r="484" spans="2:2" ht="12.5">
      <c r="B484" s="20"/>
    </row>
    <row r="485" spans="2:2" ht="12.5">
      <c r="B485" s="20"/>
    </row>
    <row r="486" spans="2:2" ht="12.5">
      <c r="B486" s="20"/>
    </row>
    <row r="487" spans="2:2" ht="12.5">
      <c r="B487" s="20"/>
    </row>
    <row r="488" spans="2:2" ht="12.5">
      <c r="B488" s="20"/>
    </row>
    <row r="489" spans="2:2" ht="12.5">
      <c r="B489" s="20"/>
    </row>
    <row r="490" spans="2:2" ht="12.5">
      <c r="B490" s="20"/>
    </row>
    <row r="491" spans="2:2" ht="12.5">
      <c r="B491" s="20"/>
    </row>
    <row r="492" spans="2:2" ht="12.5">
      <c r="B492" s="20"/>
    </row>
    <row r="493" spans="2:2" ht="12.5">
      <c r="B493" s="20"/>
    </row>
    <row r="494" spans="2:2" ht="12.5">
      <c r="B494" s="20"/>
    </row>
    <row r="495" spans="2:2" ht="12.5">
      <c r="B495" s="20"/>
    </row>
    <row r="496" spans="2:2" ht="12.5">
      <c r="B496" s="20"/>
    </row>
    <row r="497" spans="2:2" ht="12.5">
      <c r="B497" s="20"/>
    </row>
    <row r="498" spans="2:2" ht="12.5">
      <c r="B498" s="20"/>
    </row>
    <row r="499" spans="2:2" ht="12.5">
      <c r="B499" s="20"/>
    </row>
    <row r="500" spans="2:2" ht="12.5">
      <c r="B500" s="20"/>
    </row>
    <row r="501" spans="2:2" ht="12.5">
      <c r="B501" s="20"/>
    </row>
    <row r="502" spans="2:2" ht="12.5">
      <c r="B502" s="20"/>
    </row>
    <row r="503" spans="2:2" ht="12.5">
      <c r="B503" s="20"/>
    </row>
    <row r="504" spans="2:2" ht="12.5">
      <c r="B504" s="20"/>
    </row>
    <row r="505" spans="2:2" ht="12.5">
      <c r="B505" s="20"/>
    </row>
    <row r="506" spans="2:2" ht="12.5">
      <c r="B506" s="20"/>
    </row>
    <row r="507" spans="2:2" ht="12.5">
      <c r="B507" s="20"/>
    </row>
    <row r="508" spans="2:2" ht="12.5">
      <c r="B508" s="20"/>
    </row>
    <row r="509" spans="2:2" ht="12.5">
      <c r="B509" s="20"/>
    </row>
    <row r="510" spans="2:2" ht="12.5">
      <c r="B510" s="20"/>
    </row>
    <row r="511" spans="2:2" ht="12.5">
      <c r="B511" s="20"/>
    </row>
    <row r="512" spans="2:2" ht="12.5">
      <c r="B512" s="20"/>
    </row>
    <row r="513" spans="2:2" ht="12.5">
      <c r="B513" s="20"/>
    </row>
    <row r="514" spans="2:2" ht="12.5">
      <c r="B514" s="20"/>
    </row>
    <row r="515" spans="2:2" ht="12.5">
      <c r="B515" s="20"/>
    </row>
    <row r="516" spans="2:2" ht="12.5">
      <c r="B516" s="20"/>
    </row>
    <row r="517" spans="2:2" ht="12.5">
      <c r="B517" s="20"/>
    </row>
    <row r="518" spans="2:2" ht="12.5">
      <c r="B518" s="20"/>
    </row>
    <row r="519" spans="2:2" ht="12.5">
      <c r="B519" s="20"/>
    </row>
    <row r="520" spans="2:2" ht="12.5">
      <c r="B520" s="20"/>
    </row>
    <row r="521" spans="2:2" ht="12.5">
      <c r="B521" s="20"/>
    </row>
    <row r="522" spans="2:2" ht="12.5">
      <c r="B522" s="20"/>
    </row>
    <row r="523" spans="2:2" ht="12.5">
      <c r="B523" s="20"/>
    </row>
    <row r="524" spans="2:2" ht="12.5">
      <c r="B524" s="20"/>
    </row>
    <row r="525" spans="2:2" ht="12.5">
      <c r="B525" s="20"/>
    </row>
    <row r="526" spans="2:2" ht="12.5">
      <c r="B526" s="20"/>
    </row>
    <row r="527" spans="2:2" ht="12.5">
      <c r="B527" s="20"/>
    </row>
    <row r="528" spans="2:2" ht="12.5">
      <c r="B528" s="20"/>
    </row>
    <row r="529" spans="2:2" ht="12.5">
      <c r="B529" s="20"/>
    </row>
    <row r="530" spans="2:2" ht="12.5">
      <c r="B530" s="20"/>
    </row>
    <row r="531" spans="2:2" ht="12.5">
      <c r="B531" s="20"/>
    </row>
    <row r="532" spans="2:2" ht="12.5">
      <c r="B532" s="20"/>
    </row>
    <row r="533" spans="2:2" ht="12.5">
      <c r="B533" s="20"/>
    </row>
    <row r="534" spans="2:2" ht="12.5">
      <c r="B534" s="20"/>
    </row>
    <row r="535" spans="2:2" ht="12.5">
      <c r="B535" s="20"/>
    </row>
    <row r="536" spans="2:2" ht="12.5">
      <c r="B536" s="20"/>
    </row>
    <row r="537" spans="2:2" ht="12.5">
      <c r="B537" s="20"/>
    </row>
    <row r="538" spans="2:2" ht="12.5">
      <c r="B538" s="20"/>
    </row>
    <row r="539" spans="2:2" ht="12.5">
      <c r="B539" s="20"/>
    </row>
    <row r="540" spans="2:2" ht="12.5">
      <c r="B540" s="20"/>
    </row>
    <row r="541" spans="2:2" ht="12.5">
      <c r="B541" s="20"/>
    </row>
    <row r="542" spans="2:2" ht="12.5">
      <c r="B542" s="20"/>
    </row>
    <row r="543" spans="2:2" ht="12.5">
      <c r="B543" s="20"/>
    </row>
    <row r="544" spans="2:2" ht="12.5">
      <c r="B544" s="20"/>
    </row>
    <row r="545" spans="2:2" ht="12.5">
      <c r="B545" s="20"/>
    </row>
    <row r="546" spans="2:2" ht="12.5">
      <c r="B546" s="20"/>
    </row>
    <row r="547" spans="2:2" ht="12.5">
      <c r="B547" s="20"/>
    </row>
    <row r="548" spans="2:2" ht="12.5">
      <c r="B548" s="20"/>
    </row>
    <row r="549" spans="2:2" ht="12.5">
      <c r="B549" s="20"/>
    </row>
    <row r="550" spans="2:2" ht="12.5">
      <c r="B550" s="20"/>
    </row>
    <row r="551" spans="2:2" ht="12.5">
      <c r="B551" s="20"/>
    </row>
    <row r="552" spans="2:2" ht="12.5">
      <c r="B552" s="20"/>
    </row>
    <row r="553" spans="2:2" ht="12.5">
      <c r="B553" s="20"/>
    </row>
    <row r="554" spans="2:2" ht="12.5">
      <c r="B554" s="20"/>
    </row>
    <row r="555" spans="2:2" ht="12.5">
      <c r="B555" s="20"/>
    </row>
    <row r="556" spans="2:2" ht="12.5">
      <c r="B556" s="20"/>
    </row>
    <row r="557" spans="2:2" ht="12.5">
      <c r="B557" s="20"/>
    </row>
    <row r="558" spans="2:2" ht="12.5">
      <c r="B558" s="20"/>
    </row>
    <row r="559" spans="2:2" ht="12.5">
      <c r="B559" s="20"/>
    </row>
    <row r="560" spans="2:2" ht="12.5">
      <c r="B560" s="20"/>
    </row>
    <row r="561" spans="2:2" ht="12.5">
      <c r="B561" s="20"/>
    </row>
    <row r="562" spans="2:2" ht="12.5">
      <c r="B562" s="20"/>
    </row>
    <row r="563" spans="2:2" ht="12.5">
      <c r="B563" s="20"/>
    </row>
    <row r="564" spans="2:2" ht="12.5">
      <c r="B564" s="20"/>
    </row>
    <row r="565" spans="2:2" ht="12.5">
      <c r="B565" s="20"/>
    </row>
    <row r="566" spans="2:2" ht="12.5">
      <c r="B566" s="20"/>
    </row>
    <row r="567" spans="2:2" ht="12.5">
      <c r="B567" s="20"/>
    </row>
    <row r="568" spans="2:2" ht="12.5">
      <c r="B568" s="20"/>
    </row>
    <row r="569" spans="2:2" ht="12.5">
      <c r="B569" s="20"/>
    </row>
    <row r="570" spans="2:2" ht="12.5">
      <c r="B570" s="20"/>
    </row>
    <row r="571" spans="2:2" ht="12.5">
      <c r="B571" s="20"/>
    </row>
    <row r="572" spans="2:2" ht="12.5">
      <c r="B572" s="20"/>
    </row>
    <row r="573" spans="2:2" ht="12.5">
      <c r="B573" s="20"/>
    </row>
    <row r="574" spans="2:2" ht="12.5">
      <c r="B574" s="20"/>
    </row>
    <row r="575" spans="2:2" ht="12.5">
      <c r="B575" s="20"/>
    </row>
    <row r="576" spans="2:2" ht="12.5">
      <c r="B576" s="20"/>
    </row>
    <row r="577" spans="2:2" ht="12.5">
      <c r="B577" s="20"/>
    </row>
    <row r="578" spans="2:2" ht="12.5">
      <c r="B578" s="20"/>
    </row>
    <row r="579" spans="2:2" ht="12.5">
      <c r="B579" s="20"/>
    </row>
    <row r="580" spans="2:2" ht="12.5">
      <c r="B580" s="20"/>
    </row>
    <row r="581" spans="2:2" ht="12.5">
      <c r="B581" s="20"/>
    </row>
    <row r="582" spans="2:2" ht="12.5">
      <c r="B582" s="20"/>
    </row>
    <row r="583" spans="2:2" ht="12.5">
      <c r="B583" s="20"/>
    </row>
    <row r="584" spans="2:2" ht="12.5">
      <c r="B584" s="20"/>
    </row>
    <row r="585" spans="2:2" ht="12.5">
      <c r="B585" s="20"/>
    </row>
    <row r="586" spans="2:2" ht="12.5">
      <c r="B586" s="20"/>
    </row>
    <row r="587" spans="2:2" ht="12.5">
      <c r="B587" s="20"/>
    </row>
    <row r="588" spans="2:2" ht="12.5">
      <c r="B588" s="20"/>
    </row>
    <row r="589" spans="2:2" ht="12.5">
      <c r="B589" s="20"/>
    </row>
    <row r="590" spans="2:2" ht="12.5">
      <c r="B590" s="20"/>
    </row>
    <row r="591" spans="2:2" ht="12.5">
      <c r="B591" s="20"/>
    </row>
    <row r="592" spans="2:2" ht="12.5">
      <c r="B592" s="20"/>
    </row>
    <row r="593" spans="2:2" ht="12.5">
      <c r="B593" s="20"/>
    </row>
    <row r="594" spans="2:2" ht="12.5">
      <c r="B594" s="20"/>
    </row>
    <row r="595" spans="2:2" ht="12.5">
      <c r="B595" s="20"/>
    </row>
    <row r="596" spans="2:2" ht="12.5">
      <c r="B596" s="20"/>
    </row>
    <row r="597" spans="2:2" ht="12.5">
      <c r="B597" s="20"/>
    </row>
    <row r="598" spans="2:2" ht="12.5">
      <c r="B598" s="20"/>
    </row>
    <row r="599" spans="2:2" ht="12.5">
      <c r="B599" s="20"/>
    </row>
    <row r="600" spans="2:2" ht="12.5">
      <c r="B600" s="20"/>
    </row>
    <row r="601" spans="2:2" ht="12.5">
      <c r="B601" s="20"/>
    </row>
    <row r="602" spans="2:2" ht="12.5">
      <c r="B602" s="20"/>
    </row>
    <row r="603" spans="2:2" ht="12.5">
      <c r="B603" s="20"/>
    </row>
    <row r="604" spans="2:2" ht="12.5">
      <c r="B604" s="20"/>
    </row>
    <row r="605" spans="2:2" ht="12.5">
      <c r="B605" s="20"/>
    </row>
    <row r="606" spans="2:2" ht="12.5">
      <c r="B606" s="20"/>
    </row>
    <row r="607" spans="2:2" ht="12.5">
      <c r="B607" s="20"/>
    </row>
    <row r="608" spans="2:2" ht="12.5">
      <c r="B608" s="20"/>
    </row>
    <row r="609" spans="2:2" ht="12.5">
      <c r="B609" s="20"/>
    </row>
    <row r="610" spans="2:2" ht="12.5">
      <c r="B610" s="20"/>
    </row>
    <row r="611" spans="2:2" ht="12.5">
      <c r="B611" s="20"/>
    </row>
    <row r="612" spans="2:2" ht="12.5">
      <c r="B612" s="20"/>
    </row>
    <row r="613" spans="2:2" ht="12.5">
      <c r="B613" s="20"/>
    </row>
    <row r="614" spans="2:2" ht="12.5">
      <c r="B614" s="20"/>
    </row>
    <row r="615" spans="2:2" ht="12.5">
      <c r="B615" s="20"/>
    </row>
    <row r="616" spans="2:2" ht="12.5">
      <c r="B616" s="20"/>
    </row>
    <row r="617" spans="2:2" ht="12.5">
      <c r="B617" s="20"/>
    </row>
    <row r="618" spans="2:2" ht="12.5">
      <c r="B618" s="20"/>
    </row>
    <row r="619" spans="2:2" ht="12.5">
      <c r="B619" s="20"/>
    </row>
    <row r="620" spans="2:2" ht="12.5">
      <c r="B620" s="20"/>
    </row>
    <row r="621" spans="2:2" ht="12.5">
      <c r="B621" s="20"/>
    </row>
    <row r="622" spans="2:2" ht="12.5">
      <c r="B622" s="20"/>
    </row>
    <row r="623" spans="2:2" ht="12.5">
      <c r="B623" s="20"/>
    </row>
    <row r="624" spans="2:2" ht="12.5">
      <c r="B624" s="20"/>
    </row>
    <row r="625" spans="2:2" ht="12.5">
      <c r="B625" s="20"/>
    </row>
    <row r="626" spans="2:2" ht="12.5">
      <c r="B626" s="20"/>
    </row>
    <row r="627" spans="2:2" ht="12.5">
      <c r="B627" s="20"/>
    </row>
    <row r="628" spans="2:2" ht="12.5">
      <c r="B628" s="20"/>
    </row>
    <row r="629" spans="2:2" ht="12.5">
      <c r="B629" s="20"/>
    </row>
    <row r="630" spans="2:2" ht="12.5">
      <c r="B630" s="20"/>
    </row>
    <row r="631" spans="2:2" ht="12.5">
      <c r="B631" s="20"/>
    </row>
    <row r="632" spans="2:2" ht="12.5">
      <c r="B632" s="20"/>
    </row>
    <row r="633" spans="2:2" ht="12.5">
      <c r="B633" s="20"/>
    </row>
    <row r="634" spans="2:2" ht="12.5">
      <c r="B634" s="20"/>
    </row>
    <row r="635" spans="2:2" ht="12.5">
      <c r="B635" s="20"/>
    </row>
    <row r="636" spans="2:2" ht="12.5">
      <c r="B636" s="20"/>
    </row>
    <row r="637" spans="2:2" ht="12.5">
      <c r="B637" s="20"/>
    </row>
    <row r="638" spans="2:2" ht="12.5">
      <c r="B638" s="20"/>
    </row>
    <row r="639" spans="2:2" ht="12.5">
      <c r="B639" s="20"/>
    </row>
    <row r="640" spans="2:2" ht="12.5">
      <c r="B640" s="20"/>
    </row>
    <row r="641" spans="2:2" ht="12.5">
      <c r="B641" s="20"/>
    </row>
    <row r="642" spans="2:2" ht="12.5">
      <c r="B642" s="20"/>
    </row>
    <row r="643" spans="2:2" ht="12.5">
      <c r="B643" s="20"/>
    </row>
    <row r="644" spans="2:2" ht="12.5">
      <c r="B644" s="20"/>
    </row>
    <row r="645" spans="2:2" ht="12.5">
      <c r="B645" s="20"/>
    </row>
    <row r="646" spans="2:2" ht="12.5">
      <c r="B646" s="20"/>
    </row>
    <row r="647" spans="2:2" ht="12.5">
      <c r="B647" s="20"/>
    </row>
    <row r="648" spans="2:2" ht="12.5">
      <c r="B648" s="20"/>
    </row>
    <row r="649" spans="2:2" ht="12.5">
      <c r="B649" s="20"/>
    </row>
    <row r="650" spans="2:2" ht="12.5">
      <c r="B650" s="20"/>
    </row>
    <row r="651" spans="2:2" ht="12.5">
      <c r="B651" s="20"/>
    </row>
    <row r="652" spans="2:2" ht="12.5">
      <c r="B652" s="20"/>
    </row>
    <row r="653" spans="2:2" ht="12.5">
      <c r="B653" s="20"/>
    </row>
    <row r="654" spans="2:2" ht="12.5">
      <c r="B654" s="20"/>
    </row>
    <row r="655" spans="2:2" ht="12.5">
      <c r="B655" s="20"/>
    </row>
    <row r="656" spans="2:2" ht="12.5">
      <c r="B656" s="20"/>
    </row>
    <row r="657" spans="2:2" ht="12.5">
      <c r="B657" s="20"/>
    </row>
    <row r="658" spans="2:2" ht="12.5">
      <c r="B658" s="20"/>
    </row>
    <row r="659" spans="2:2" ht="12.5">
      <c r="B659" s="20"/>
    </row>
    <row r="660" spans="2:2" ht="12.5">
      <c r="B660" s="20"/>
    </row>
    <row r="661" spans="2:2" ht="12.5">
      <c r="B661" s="20"/>
    </row>
    <row r="662" spans="2:2" ht="12.5">
      <c r="B662" s="20"/>
    </row>
    <row r="663" spans="2:2" ht="12.5">
      <c r="B663" s="20"/>
    </row>
    <row r="664" spans="2:2" ht="12.5">
      <c r="B664" s="20"/>
    </row>
    <row r="665" spans="2:2" ht="12.5">
      <c r="B665" s="20"/>
    </row>
    <row r="666" spans="2:2" ht="12.5">
      <c r="B666" s="20"/>
    </row>
    <row r="667" spans="2:2" ht="12.5">
      <c r="B667" s="20"/>
    </row>
    <row r="668" spans="2:2" ht="12.5">
      <c r="B668" s="20"/>
    </row>
    <row r="669" spans="2:2" ht="12.5">
      <c r="B669" s="20"/>
    </row>
    <row r="670" spans="2:2" ht="12.5">
      <c r="B670" s="20"/>
    </row>
    <row r="671" spans="2:2" ht="12.5">
      <c r="B671" s="20"/>
    </row>
    <row r="672" spans="2:2" ht="12.5">
      <c r="B672" s="20"/>
    </row>
    <row r="673" spans="2:2" ht="12.5">
      <c r="B673" s="20"/>
    </row>
    <row r="674" spans="2:2" ht="12.5">
      <c r="B674" s="20"/>
    </row>
    <row r="675" spans="2:2" ht="12.5">
      <c r="B675" s="20"/>
    </row>
    <row r="676" spans="2:2" ht="12.5">
      <c r="B676" s="20"/>
    </row>
    <row r="677" spans="2:2" ht="12.5">
      <c r="B677" s="20"/>
    </row>
    <row r="678" spans="2:2" ht="12.5">
      <c r="B678" s="20"/>
    </row>
    <row r="679" spans="2:2" ht="12.5">
      <c r="B679" s="20"/>
    </row>
    <row r="680" spans="2:2" ht="12.5">
      <c r="B680" s="20"/>
    </row>
    <row r="681" spans="2:2" ht="12.5">
      <c r="B681" s="20"/>
    </row>
    <row r="682" spans="2:2" ht="12.5">
      <c r="B682" s="20"/>
    </row>
    <row r="683" spans="2:2" ht="12.5">
      <c r="B683" s="20"/>
    </row>
    <row r="684" spans="2:2" ht="12.5">
      <c r="B684" s="20"/>
    </row>
    <row r="685" spans="2:2" ht="12.5">
      <c r="B685" s="20"/>
    </row>
    <row r="686" spans="2:2" ht="12.5">
      <c r="B686" s="20"/>
    </row>
    <row r="687" spans="2:2" ht="12.5">
      <c r="B687" s="20"/>
    </row>
    <row r="688" spans="2:2" ht="12.5">
      <c r="B688" s="20"/>
    </row>
    <row r="689" spans="2:2" ht="12.5">
      <c r="B689" s="20"/>
    </row>
    <row r="690" spans="2:2" ht="12.5">
      <c r="B690" s="20"/>
    </row>
    <row r="691" spans="2:2" ht="12.5">
      <c r="B691" s="20"/>
    </row>
    <row r="692" spans="2:2" ht="12.5">
      <c r="B692" s="20"/>
    </row>
    <row r="693" spans="2:2" ht="12.5">
      <c r="B693" s="20"/>
    </row>
    <row r="694" spans="2:2" ht="12.5">
      <c r="B694" s="20"/>
    </row>
    <row r="695" spans="2:2" ht="12.5">
      <c r="B695" s="20"/>
    </row>
    <row r="696" spans="2:2" ht="12.5">
      <c r="B696" s="20"/>
    </row>
    <row r="697" spans="2:2" ht="12.5">
      <c r="B697" s="20"/>
    </row>
    <row r="698" spans="2:2" ht="12.5">
      <c r="B698" s="20"/>
    </row>
    <row r="699" spans="2:2" ht="12.5">
      <c r="B699" s="20"/>
    </row>
    <row r="700" spans="2:2" ht="12.5">
      <c r="B700" s="20"/>
    </row>
    <row r="701" spans="2:2" ht="12.5">
      <c r="B701" s="20"/>
    </row>
    <row r="702" spans="2:2" ht="12.5">
      <c r="B702" s="20"/>
    </row>
    <row r="703" spans="2:2" ht="12.5">
      <c r="B703" s="20"/>
    </row>
    <row r="704" spans="2:2" ht="12.5">
      <c r="B704" s="20"/>
    </row>
    <row r="705" spans="2:2" ht="12.5">
      <c r="B705" s="20"/>
    </row>
    <row r="706" spans="2:2" ht="12.5">
      <c r="B706" s="20"/>
    </row>
    <row r="707" spans="2:2" ht="12.5">
      <c r="B707" s="20"/>
    </row>
    <row r="708" spans="2:2" ht="12.5">
      <c r="B708" s="20"/>
    </row>
    <row r="709" spans="2:2" ht="12.5">
      <c r="B709" s="20"/>
    </row>
    <row r="710" spans="2:2" ht="12.5">
      <c r="B710" s="20"/>
    </row>
    <row r="711" spans="2:2" ht="12.5">
      <c r="B711" s="20"/>
    </row>
    <row r="712" spans="2:2" ht="12.5">
      <c r="B712" s="20"/>
    </row>
    <row r="713" spans="2:2" ht="12.5">
      <c r="B713" s="20"/>
    </row>
    <row r="714" spans="2:2" ht="12.5">
      <c r="B714" s="20"/>
    </row>
    <row r="715" spans="2:2" ht="12.5">
      <c r="B715" s="20"/>
    </row>
    <row r="716" spans="2:2" ht="12.5">
      <c r="B716" s="20"/>
    </row>
    <row r="717" spans="2:2" ht="12.5">
      <c r="B717" s="20"/>
    </row>
    <row r="718" spans="2:2" ht="12.5">
      <c r="B718" s="20"/>
    </row>
    <row r="719" spans="2:2" ht="12.5">
      <c r="B719" s="20"/>
    </row>
    <row r="720" spans="2:2" ht="12.5">
      <c r="B720" s="20"/>
    </row>
    <row r="721" spans="2:2" ht="12.5">
      <c r="B721" s="20"/>
    </row>
    <row r="722" spans="2:2" ht="12.5">
      <c r="B722" s="20"/>
    </row>
    <row r="723" spans="2:2" ht="12.5">
      <c r="B723" s="20"/>
    </row>
    <row r="724" spans="2:2" ht="12.5">
      <c r="B724" s="20"/>
    </row>
    <row r="725" spans="2:2" ht="12.5">
      <c r="B725" s="20"/>
    </row>
    <row r="726" spans="2:2" ht="12.5">
      <c r="B726" s="20"/>
    </row>
    <row r="727" spans="2:2" ht="12.5">
      <c r="B727" s="20"/>
    </row>
    <row r="728" spans="2:2" ht="12.5">
      <c r="B728" s="20"/>
    </row>
    <row r="729" spans="2:2" ht="12.5">
      <c r="B729" s="20"/>
    </row>
    <row r="730" spans="2:2" ht="12.5">
      <c r="B730" s="20"/>
    </row>
    <row r="731" spans="2:2" ht="12.5">
      <c r="B731" s="20"/>
    </row>
    <row r="732" spans="2:2" ht="12.5">
      <c r="B732" s="20"/>
    </row>
    <row r="733" spans="2:2" ht="12.5">
      <c r="B733" s="20"/>
    </row>
    <row r="734" spans="2:2" ht="12.5">
      <c r="B734" s="20"/>
    </row>
    <row r="735" spans="2:2" ht="12.5">
      <c r="B735" s="20"/>
    </row>
    <row r="736" spans="2:2" ht="12.5">
      <c r="B736" s="20"/>
    </row>
    <row r="737" spans="2:2" ht="12.5">
      <c r="B737" s="20"/>
    </row>
    <row r="738" spans="2:2" ht="12.5">
      <c r="B738" s="20"/>
    </row>
    <row r="739" spans="2:2" ht="12.5">
      <c r="B739" s="20"/>
    </row>
    <row r="740" spans="2:2" ht="12.5">
      <c r="B740" s="20"/>
    </row>
    <row r="741" spans="2:2" ht="12.5">
      <c r="B741" s="20"/>
    </row>
    <row r="742" spans="2:2" ht="12.5">
      <c r="B742" s="20"/>
    </row>
    <row r="743" spans="2:2" ht="12.5">
      <c r="B743" s="20"/>
    </row>
    <row r="744" spans="2:2" ht="12.5">
      <c r="B744" s="20"/>
    </row>
    <row r="745" spans="2:2" ht="12.5">
      <c r="B745" s="20"/>
    </row>
    <row r="746" spans="2:2" ht="12.5">
      <c r="B746" s="20"/>
    </row>
    <row r="747" spans="2:2" ht="12.5">
      <c r="B747" s="20"/>
    </row>
    <row r="748" spans="2:2" ht="12.5">
      <c r="B748" s="20"/>
    </row>
    <row r="749" spans="2:2" ht="12.5">
      <c r="B749" s="20"/>
    </row>
    <row r="750" spans="2:2" ht="12.5">
      <c r="B750" s="20"/>
    </row>
    <row r="751" spans="2:2" ht="12.5">
      <c r="B751" s="20"/>
    </row>
    <row r="752" spans="2:2" ht="12.5">
      <c r="B752" s="20"/>
    </row>
    <row r="753" spans="2:2" ht="12.5">
      <c r="B753" s="20"/>
    </row>
    <row r="754" spans="2:2" ht="12.5">
      <c r="B754" s="20"/>
    </row>
    <row r="755" spans="2:2" ht="12.5">
      <c r="B755" s="20"/>
    </row>
    <row r="756" spans="2:2" ht="12.5">
      <c r="B756" s="20"/>
    </row>
    <row r="757" spans="2:2" ht="12.5">
      <c r="B757" s="20"/>
    </row>
    <row r="758" spans="2:2" ht="12.5">
      <c r="B758" s="20"/>
    </row>
    <row r="759" spans="2:2" ht="12.5">
      <c r="B759" s="20"/>
    </row>
    <row r="760" spans="2:2" ht="12.5">
      <c r="B760" s="20"/>
    </row>
    <row r="761" spans="2:2" ht="12.5">
      <c r="B761" s="20"/>
    </row>
    <row r="762" spans="2:2" ht="12.5">
      <c r="B762" s="20"/>
    </row>
    <row r="763" spans="2:2" ht="12.5">
      <c r="B763" s="20"/>
    </row>
    <row r="764" spans="2:2" ht="12.5">
      <c r="B764" s="20"/>
    </row>
    <row r="765" spans="2:2" ht="12.5">
      <c r="B765" s="20"/>
    </row>
    <row r="766" spans="2:2" ht="12.5">
      <c r="B766" s="20"/>
    </row>
    <row r="767" spans="2:2" ht="12.5">
      <c r="B767" s="20"/>
    </row>
    <row r="768" spans="2:2" ht="12.5">
      <c r="B768" s="20"/>
    </row>
    <row r="769" spans="2:2" ht="12.5">
      <c r="B769" s="20"/>
    </row>
    <row r="770" spans="2:2" ht="12.5">
      <c r="B770" s="20"/>
    </row>
    <row r="771" spans="2:2" ht="12.5">
      <c r="B771" s="20"/>
    </row>
    <row r="772" spans="2:2" ht="12.5">
      <c r="B772" s="20"/>
    </row>
    <row r="773" spans="2:2" ht="12.5">
      <c r="B773" s="20"/>
    </row>
    <row r="774" spans="2:2" ht="12.5">
      <c r="B774" s="20"/>
    </row>
    <row r="775" spans="2:2" ht="12.5">
      <c r="B775" s="20"/>
    </row>
    <row r="776" spans="2:2" ht="12.5">
      <c r="B776" s="20"/>
    </row>
    <row r="777" spans="2:2" ht="12.5">
      <c r="B777" s="20"/>
    </row>
    <row r="778" spans="2:2" ht="12.5">
      <c r="B778" s="20"/>
    </row>
    <row r="779" spans="2:2" ht="12.5">
      <c r="B779" s="20"/>
    </row>
    <row r="780" spans="2:2" ht="12.5">
      <c r="B780" s="20"/>
    </row>
    <row r="781" spans="2:2" ht="12.5">
      <c r="B781" s="20"/>
    </row>
    <row r="782" spans="2:2" ht="12.5">
      <c r="B782" s="20"/>
    </row>
    <row r="783" spans="2:2" ht="12.5">
      <c r="B783" s="20"/>
    </row>
    <row r="784" spans="2:2" ht="12.5">
      <c r="B784" s="20"/>
    </row>
    <row r="785" spans="2:2" ht="12.5">
      <c r="B785" s="20"/>
    </row>
    <row r="786" spans="2:2" ht="12.5">
      <c r="B786" s="20"/>
    </row>
    <row r="787" spans="2:2" ht="12.5">
      <c r="B787" s="20"/>
    </row>
    <row r="788" spans="2:2" ht="12.5">
      <c r="B788" s="20"/>
    </row>
    <row r="789" spans="2:2" ht="12.5">
      <c r="B789" s="20"/>
    </row>
    <row r="790" spans="2:2" ht="12.5">
      <c r="B790" s="20"/>
    </row>
    <row r="791" spans="2:2" ht="12.5">
      <c r="B791" s="20"/>
    </row>
    <row r="792" spans="2:2" ht="12.5">
      <c r="B792" s="20"/>
    </row>
    <row r="793" spans="2:2" ht="12.5">
      <c r="B793" s="20"/>
    </row>
    <row r="794" spans="2:2" ht="12.5">
      <c r="B794" s="20"/>
    </row>
    <row r="795" spans="2:2" ht="12.5">
      <c r="B795" s="20"/>
    </row>
    <row r="796" spans="2:2" ht="12.5">
      <c r="B796" s="20"/>
    </row>
    <row r="797" spans="2:2" ht="12.5">
      <c r="B797" s="20"/>
    </row>
    <row r="798" spans="2:2" ht="12.5">
      <c r="B798" s="20"/>
    </row>
    <row r="799" spans="2:2" ht="12.5">
      <c r="B799" s="20"/>
    </row>
    <row r="800" spans="2:2" ht="12.5">
      <c r="B800" s="20"/>
    </row>
    <row r="801" spans="2:2" ht="12.5">
      <c r="B801" s="20"/>
    </row>
    <row r="802" spans="2:2" ht="12.5">
      <c r="B802" s="20"/>
    </row>
    <row r="803" spans="2:2" ht="12.5">
      <c r="B803" s="20"/>
    </row>
    <row r="804" spans="2:2" ht="12.5">
      <c r="B804" s="20"/>
    </row>
    <row r="805" spans="2:2" ht="12.5">
      <c r="B805" s="20"/>
    </row>
    <row r="806" spans="2:2" ht="12.5">
      <c r="B806" s="20"/>
    </row>
    <row r="807" spans="2:2" ht="12.5">
      <c r="B807" s="20"/>
    </row>
    <row r="808" spans="2:2" ht="12.5">
      <c r="B808" s="20"/>
    </row>
    <row r="809" spans="2:2" ht="12.5">
      <c r="B809" s="20"/>
    </row>
    <row r="810" spans="2:2" ht="12.5">
      <c r="B810" s="20"/>
    </row>
    <row r="811" spans="2:2" ht="12.5">
      <c r="B811" s="20"/>
    </row>
    <row r="812" spans="2:2" ht="12.5">
      <c r="B812" s="20"/>
    </row>
    <row r="813" spans="2:2" ht="12.5">
      <c r="B813" s="20"/>
    </row>
    <row r="814" spans="2:2" ht="12.5">
      <c r="B814" s="20"/>
    </row>
    <row r="815" spans="2:2" ht="12.5">
      <c r="B815" s="20"/>
    </row>
    <row r="816" spans="2:2" ht="12.5">
      <c r="B816" s="20"/>
    </row>
    <row r="817" spans="2:2" ht="12.5">
      <c r="B817" s="20"/>
    </row>
    <row r="818" spans="2:2" ht="12.5">
      <c r="B818" s="20"/>
    </row>
    <row r="819" spans="2:2" ht="12.5">
      <c r="B819" s="20"/>
    </row>
    <row r="820" spans="2:2" ht="12.5">
      <c r="B820" s="20"/>
    </row>
    <row r="821" spans="2:2" ht="12.5">
      <c r="B821" s="20"/>
    </row>
    <row r="822" spans="2:2" ht="12.5">
      <c r="B822" s="20"/>
    </row>
    <row r="823" spans="2:2" ht="12.5">
      <c r="B823" s="20"/>
    </row>
    <row r="824" spans="2:2" ht="12.5">
      <c r="B824" s="20"/>
    </row>
    <row r="825" spans="2:2" ht="12.5">
      <c r="B825" s="20"/>
    </row>
    <row r="826" spans="2:2" ht="12.5">
      <c r="B826" s="20"/>
    </row>
    <row r="827" spans="2:2" ht="12.5">
      <c r="B827" s="20"/>
    </row>
    <row r="828" spans="2:2" ht="12.5">
      <c r="B828" s="20"/>
    </row>
    <row r="829" spans="2:2" ht="12.5">
      <c r="B829" s="20"/>
    </row>
    <row r="830" spans="2:2" ht="12.5">
      <c r="B830" s="20"/>
    </row>
    <row r="831" spans="2:2" ht="12.5">
      <c r="B831" s="20"/>
    </row>
    <row r="832" spans="2:2" ht="12.5">
      <c r="B832" s="20"/>
    </row>
    <row r="833" spans="2:2" ht="12.5">
      <c r="B833" s="20"/>
    </row>
    <row r="834" spans="2:2" ht="12.5">
      <c r="B834" s="20"/>
    </row>
    <row r="835" spans="2:2" ht="12.5">
      <c r="B835" s="20"/>
    </row>
    <row r="836" spans="2:2" ht="12.5">
      <c r="B836" s="20"/>
    </row>
    <row r="837" spans="2:2" ht="12.5">
      <c r="B837" s="20"/>
    </row>
    <row r="838" spans="2:2" ht="12.5">
      <c r="B838" s="20"/>
    </row>
    <row r="839" spans="2:2" ht="12.5">
      <c r="B839" s="20"/>
    </row>
    <row r="840" spans="2:2" ht="12.5">
      <c r="B840" s="20"/>
    </row>
    <row r="841" spans="2:2" ht="12.5">
      <c r="B841" s="20"/>
    </row>
    <row r="842" spans="2:2" ht="12.5">
      <c r="B842" s="20"/>
    </row>
    <row r="843" spans="2:2" ht="12.5">
      <c r="B843" s="20"/>
    </row>
    <row r="844" spans="2:2" ht="12.5">
      <c r="B844" s="20"/>
    </row>
    <row r="845" spans="2:2" ht="12.5">
      <c r="B845" s="20"/>
    </row>
    <row r="846" spans="2:2" ht="12.5">
      <c r="B846" s="20"/>
    </row>
    <row r="847" spans="2:2" ht="12.5">
      <c r="B847" s="20"/>
    </row>
    <row r="848" spans="2:2" ht="12.5">
      <c r="B848" s="20"/>
    </row>
    <row r="849" spans="2:2" ht="12.5">
      <c r="B849" s="20"/>
    </row>
    <row r="850" spans="2:2" ht="12.5">
      <c r="B850" s="20"/>
    </row>
    <row r="851" spans="2:2" ht="12.5">
      <c r="B851" s="20"/>
    </row>
    <row r="852" spans="2:2" ht="12.5">
      <c r="B852" s="20"/>
    </row>
    <row r="853" spans="2:2" ht="12.5">
      <c r="B853" s="20"/>
    </row>
    <row r="854" spans="2:2" ht="12.5">
      <c r="B854" s="20"/>
    </row>
    <row r="855" spans="2:2" ht="12.5">
      <c r="B855" s="20"/>
    </row>
    <row r="856" spans="2:2" ht="12.5">
      <c r="B856" s="20"/>
    </row>
    <row r="857" spans="2:2" ht="12.5">
      <c r="B857" s="20"/>
    </row>
    <row r="858" spans="2:2" ht="12.5">
      <c r="B858" s="20"/>
    </row>
    <row r="859" spans="2:2" ht="12.5">
      <c r="B859" s="20"/>
    </row>
    <row r="860" spans="2:2" ht="12.5">
      <c r="B860" s="20"/>
    </row>
    <row r="861" spans="2:2" ht="12.5">
      <c r="B861" s="20"/>
    </row>
    <row r="862" spans="2:2" ht="12.5">
      <c r="B862" s="20"/>
    </row>
    <row r="863" spans="2:2" ht="12.5">
      <c r="B863" s="20"/>
    </row>
    <row r="864" spans="2:2" ht="12.5">
      <c r="B864" s="20"/>
    </row>
    <row r="865" spans="2:2" ht="12.5">
      <c r="B865" s="20"/>
    </row>
    <row r="866" spans="2:2" ht="12.5">
      <c r="B866" s="20"/>
    </row>
    <row r="867" spans="2:2" ht="12.5">
      <c r="B867" s="20"/>
    </row>
    <row r="868" spans="2:2" ht="12.5">
      <c r="B868" s="20"/>
    </row>
    <row r="869" spans="2:2" ht="12.5">
      <c r="B869" s="20"/>
    </row>
    <row r="870" spans="2:2" ht="12.5">
      <c r="B870" s="20"/>
    </row>
    <row r="871" spans="2:2" ht="12.5">
      <c r="B871" s="20"/>
    </row>
    <row r="872" spans="2:2" ht="12.5">
      <c r="B872" s="20"/>
    </row>
    <row r="873" spans="2:2" ht="12.5">
      <c r="B873" s="20"/>
    </row>
    <row r="874" spans="2:2" ht="12.5">
      <c r="B874" s="20"/>
    </row>
    <row r="875" spans="2:2" ht="12.5">
      <c r="B875" s="20"/>
    </row>
    <row r="876" spans="2:2" ht="12.5">
      <c r="B876" s="20"/>
    </row>
    <row r="877" spans="2:2" ht="12.5">
      <c r="B877" s="20"/>
    </row>
    <row r="878" spans="2:2" ht="12.5">
      <c r="B878" s="20"/>
    </row>
    <row r="879" spans="2:2" ht="12.5">
      <c r="B879" s="20"/>
    </row>
    <row r="880" spans="2:2" ht="12.5">
      <c r="B880" s="20"/>
    </row>
    <row r="881" spans="2:2" ht="12.5">
      <c r="B881" s="20"/>
    </row>
    <row r="882" spans="2:2" ht="12.5">
      <c r="B882" s="20"/>
    </row>
    <row r="883" spans="2:2" ht="12.5">
      <c r="B883" s="20"/>
    </row>
    <row r="884" spans="2:2" ht="12.5">
      <c r="B884" s="20"/>
    </row>
    <row r="885" spans="2:2" ht="12.5">
      <c r="B885" s="20"/>
    </row>
    <row r="886" spans="2:2" ht="12.5">
      <c r="B886" s="20"/>
    </row>
    <row r="887" spans="2:2" ht="12.5">
      <c r="B887" s="20"/>
    </row>
    <row r="888" spans="2:2" ht="12.5">
      <c r="B888" s="20"/>
    </row>
    <row r="889" spans="2:2" ht="12.5">
      <c r="B889" s="20"/>
    </row>
    <row r="890" spans="2:2" ht="12.5">
      <c r="B890" s="20"/>
    </row>
    <row r="891" spans="2:2" ht="12.5">
      <c r="B891" s="20"/>
    </row>
    <row r="892" spans="2:2" ht="12.5">
      <c r="B892" s="20"/>
    </row>
    <row r="893" spans="2:2" ht="12.5">
      <c r="B893" s="20"/>
    </row>
    <row r="894" spans="2:2" ht="12.5">
      <c r="B894" s="20"/>
    </row>
    <row r="895" spans="2:2" ht="12.5">
      <c r="B895" s="20"/>
    </row>
    <row r="896" spans="2:2" ht="12.5">
      <c r="B896" s="20"/>
    </row>
    <row r="897" spans="2:2" ht="12.5">
      <c r="B897" s="20"/>
    </row>
    <row r="898" spans="2:2" ht="12.5">
      <c r="B898" s="20"/>
    </row>
    <row r="899" spans="2:2" ht="12.5">
      <c r="B899" s="20"/>
    </row>
    <row r="900" spans="2:2" ht="12.5">
      <c r="B900" s="20"/>
    </row>
    <row r="901" spans="2:2" ht="12.5">
      <c r="B901" s="20"/>
    </row>
    <row r="902" spans="2:2" ht="12.5">
      <c r="B902" s="20"/>
    </row>
    <row r="903" spans="2:2" ht="12.5">
      <c r="B903" s="20"/>
    </row>
    <row r="904" spans="2:2" ht="12.5">
      <c r="B904" s="20"/>
    </row>
    <row r="905" spans="2:2" ht="12.5">
      <c r="B905" s="20"/>
    </row>
    <row r="906" spans="2:2" ht="12.5">
      <c r="B906" s="20"/>
    </row>
    <row r="907" spans="2:2" ht="12.5">
      <c r="B907" s="20"/>
    </row>
    <row r="908" spans="2:2" ht="12.5">
      <c r="B908" s="20"/>
    </row>
    <row r="909" spans="2:2" ht="12.5">
      <c r="B909" s="20"/>
    </row>
    <row r="910" spans="2:2" ht="12.5">
      <c r="B910" s="20"/>
    </row>
    <row r="911" spans="2:2" ht="12.5">
      <c r="B911" s="20"/>
    </row>
    <row r="912" spans="2:2" ht="12.5">
      <c r="B912" s="20"/>
    </row>
    <row r="913" spans="2:2" ht="12.5">
      <c r="B913" s="20"/>
    </row>
    <row r="914" spans="2:2" ht="12.5">
      <c r="B914" s="20"/>
    </row>
    <row r="915" spans="2:2" ht="12.5">
      <c r="B915" s="20"/>
    </row>
    <row r="916" spans="2:2" ht="12.5">
      <c r="B916" s="20"/>
    </row>
    <row r="917" spans="2:2" ht="12.5">
      <c r="B917" s="20"/>
    </row>
    <row r="918" spans="2:2" ht="12.5">
      <c r="B918" s="20"/>
    </row>
    <row r="919" spans="2:2" ht="12.5">
      <c r="B919" s="20"/>
    </row>
    <row r="920" spans="2:2" ht="12.5">
      <c r="B920" s="20"/>
    </row>
    <row r="921" spans="2:2" ht="12.5">
      <c r="B921" s="20"/>
    </row>
    <row r="922" spans="2:2" ht="12.5">
      <c r="B922" s="20"/>
    </row>
    <row r="923" spans="2:2" ht="12.5">
      <c r="B923" s="20"/>
    </row>
    <row r="924" spans="2:2" ht="12.5">
      <c r="B924" s="20"/>
    </row>
    <row r="925" spans="2:2" ht="12.5">
      <c r="B925" s="20"/>
    </row>
    <row r="926" spans="2:2" ht="12.5">
      <c r="B926" s="20"/>
    </row>
    <row r="927" spans="2:2" ht="12.5">
      <c r="B927" s="20"/>
    </row>
    <row r="928" spans="2:2" ht="12.5">
      <c r="B928" s="20"/>
    </row>
    <row r="929" spans="2:2" ht="12.5">
      <c r="B929" s="20"/>
    </row>
    <row r="930" spans="2:2" ht="12.5">
      <c r="B930" s="20"/>
    </row>
    <row r="931" spans="2:2" ht="12.5">
      <c r="B931" s="20"/>
    </row>
    <row r="932" spans="2:2" ht="12.5">
      <c r="B932" s="20"/>
    </row>
    <row r="933" spans="2:2" ht="12.5">
      <c r="B933" s="20"/>
    </row>
    <row r="934" spans="2:2" ht="12.5">
      <c r="B934" s="20"/>
    </row>
    <row r="935" spans="2:2" ht="12.5">
      <c r="B935" s="20"/>
    </row>
    <row r="936" spans="2:2" ht="12.5">
      <c r="B936" s="20"/>
    </row>
    <row r="937" spans="2:2" ht="12.5">
      <c r="B937" s="20"/>
    </row>
    <row r="938" spans="2:2" ht="12.5">
      <c r="B938" s="20"/>
    </row>
    <row r="939" spans="2:2" ht="12.5">
      <c r="B939" s="20"/>
    </row>
    <row r="940" spans="2:2" ht="12.5">
      <c r="B940" s="20"/>
    </row>
    <row r="941" spans="2:2" ht="12.5">
      <c r="B941" s="20"/>
    </row>
    <row r="942" spans="2:2" ht="12.5">
      <c r="B942" s="20"/>
    </row>
    <row r="943" spans="2:2" ht="12.5">
      <c r="B943" s="20"/>
    </row>
    <row r="944" spans="2:2" ht="12.5">
      <c r="B944" s="20"/>
    </row>
    <row r="945" spans="2:2" ht="12.5">
      <c r="B945" s="20"/>
    </row>
    <row r="946" spans="2:2" ht="12.5">
      <c r="B946" s="20"/>
    </row>
    <row r="947" spans="2:2" ht="12.5">
      <c r="B947" s="20"/>
    </row>
    <row r="948" spans="2:2" ht="12.5">
      <c r="B948" s="20"/>
    </row>
    <row r="949" spans="2:2" ht="12.5">
      <c r="B949" s="20"/>
    </row>
    <row r="950" spans="2:2" ht="12.5">
      <c r="B950" s="20"/>
    </row>
    <row r="951" spans="2:2" ht="12.5">
      <c r="B951" s="20"/>
    </row>
    <row r="952" spans="2:2" ht="12.5">
      <c r="B952" s="20"/>
    </row>
    <row r="953" spans="2:2" ht="12.5">
      <c r="B953" s="20"/>
    </row>
    <row r="954" spans="2:2" ht="12.5">
      <c r="B954" s="20"/>
    </row>
    <row r="955" spans="2:2" ht="12.5">
      <c r="B955" s="20"/>
    </row>
    <row r="956" spans="2:2" ht="12.5">
      <c r="B956" s="20"/>
    </row>
    <row r="957" spans="2:2" ht="12.5">
      <c r="B957" s="20"/>
    </row>
    <row r="958" spans="2:2" ht="12.5">
      <c r="B958" s="20"/>
    </row>
    <row r="959" spans="2:2" ht="12.5">
      <c r="B959" s="20"/>
    </row>
    <row r="960" spans="2:2" ht="12.5">
      <c r="B960" s="20"/>
    </row>
    <row r="961" spans="2:2" ht="12.5">
      <c r="B961" s="20"/>
    </row>
    <row r="962" spans="2:2" ht="12.5">
      <c r="B962" s="20"/>
    </row>
    <row r="963" spans="2:2" ht="12.5">
      <c r="B963" s="20"/>
    </row>
    <row r="964" spans="2:2" ht="12.5">
      <c r="B964" s="20"/>
    </row>
    <row r="965" spans="2:2" ht="12.5">
      <c r="B965" s="20"/>
    </row>
    <row r="966" spans="2:2" ht="12.5">
      <c r="B966" s="20"/>
    </row>
    <row r="967" spans="2:2" ht="12.5">
      <c r="B967" s="20"/>
    </row>
    <row r="968" spans="2:2" ht="12.5">
      <c r="B968" s="20"/>
    </row>
    <row r="969" spans="2:2" ht="12.5">
      <c r="B969" s="20"/>
    </row>
    <row r="970" spans="2:2" ht="12.5">
      <c r="B970" s="20"/>
    </row>
    <row r="971" spans="2:2" ht="12.5">
      <c r="B971" s="20"/>
    </row>
    <row r="972" spans="2:2" ht="12.5">
      <c r="B972" s="20"/>
    </row>
    <row r="973" spans="2:2" ht="12.5">
      <c r="B973" s="20"/>
    </row>
    <row r="974" spans="2:2" ht="12.5">
      <c r="B974" s="20"/>
    </row>
    <row r="975" spans="2:2" ht="12.5">
      <c r="B975" s="20"/>
    </row>
    <row r="976" spans="2:2" ht="12.5">
      <c r="B976" s="20"/>
    </row>
    <row r="977" spans="2:2" ht="12.5">
      <c r="B977" s="20"/>
    </row>
    <row r="978" spans="2:2" ht="12.5">
      <c r="B978" s="20"/>
    </row>
    <row r="979" spans="2:2" ht="12.5">
      <c r="B979" s="20"/>
    </row>
    <row r="980" spans="2:2" ht="12.5">
      <c r="B980" s="20"/>
    </row>
    <row r="981" spans="2:2" ht="12.5">
      <c r="B981" s="20"/>
    </row>
    <row r="982" spans="2:2" ht="12.5">
      <c r="B982" s="20"/>
    </row>
    <row r="983" spans="2:2" ht="12.5">
      <c r="B983" s="20"/>
    </row>
    <row r="984" spans="2:2" ht="12.5">
      <c r="B984" s="20"/>
    </row>
    <row r="985" spans="2:2" ht="12.5">
      <c r="B985" s="20"/>
    </row>
    <row r="986" spans="2:2" ht="12.5">
      <c r="B986" s="20"/>
    </row>
    <row r="987" spans="2:2" ht="12.5">
      <c r="B987" s="20"/>
    </row>
    <row r="988" spans="2:2" ht="12.5">
      <c r="B988" s="20"/>
    </row>
    <row r="989" spans="2:2" ht="12.5">
      <c r="B989" s="20"/>
    </row>
    <row r="990" spans="2:2" ht="12.5">
      <c r="B990" s="20"/>
    </row>
    <row r="991" spans="2:2" ht="12.5">
      <c r="B991" s="20"/>
    </row>
    <row r="992" spans="2:2" ht="12.5">
      <c r="B992" s="20"/>
    </row>
    <row r="993" spans="2:2" ht="12.5">
      <c r="B993" s="20"/>
    </row>
    <row r="994" spans="2:2" ht="12.5">
      <c r="B994" s="20"/>
    </row>
    <row r="995" spans="2:2" ht="12.5">
      <c r="B995" s="20"/>
    </row>
    <row r="996" spans="2:2" ht="12.5">
      <c r="B996" s="20"/>
    </row>
    <row r="997" spans="2:2" ht="12.5">
      <c r="B997" s="20"/>
    </row>
    <row r="998" spans="2:2" ht="12.5">
      <c r="B998" s="20"/>
    </row>
    <row r="999" spans="2:2" ht="12.5">
      <c r="B999" s="20"/>
    </row>
    <row r="1000" spans="2:2" ht="12.5">
      <c r="B1000" s="20"/>
    </row>
    <row r="1001" spans="2:2" ht="12.5">
      <c r="B1001" s="20"/>
    </row>
    <row r="1002" spans="2:2" ht="12.5">
      <c r="B1002" s="20"/>
    </row>
    <row r="1003" spans="2:2" ht="12.5">
      <c r="B1003" s="20"/>
    </row>
    <row r="1004" spans="2:2" ht="12.5">
      <c r="B1004" s="20"/>
    </row>
    <row r="1005" spans="2:2" ht="12.5">
      <c r="B1005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BO32"/>
  <sheetViews>
    <sheetView workbookViewId="0"/>
  </sheetViews>
  <sheetFormatPr defaultColWidth="12.6328125" defaultRowHeight="15.75" customHeight="1"/>
  <sheetData>
    <row r="2" spans="1:67" ht="15.75" customHeight="1">
      <c r="B2" s="62" t="s">
        <v>62</v>
      </c>
      <c r="C2" s="61"/>
      <c r="D2" s="61"/>
      <c r="E2" s="61"/>
      <c r="F2" s="61"/>
      <c r="G2" s="61"/>
      <c r="I2" s="62" t="s">
        <v>72</v>
      </c>
      <c r="J2" s="61"/>
      <c r="K2" s="61"/>
      <c r="L2" s="61"/>
      <c r="M2" s="61"/>
      <c r="N2" s="61"/>
      <c r="P2" s="63" t="s">
        <v>73</v>
      </c>
      <c r="Q2" s="61"/>
      <c r="R2" s="61"/>
      <c r="S2" s="61"/>
      <c r="T2" s="61"/>
      <c r="U2" s="61"/>
      <c r="V2" s="31"/>
      <c r="W2" s="62" t="s">
        <v>63</v>
      </c>
      <c r="X2" s="61"/>
      <c r="Y2" s="61"/>
      <c r="Z2" s="30"/>
      <c r="AA2" s="63" t="s">
        <v>64</v>
      </c>
      <c r="AB2" s="6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</row>
    <row r="3" spans="1:67" ht="15.75" customHeight="1">
      <c r="B3" s="61"/>
      <c r="C3" s="61"/>
      <c r="D3" s="61"/>
      <c r="E3" s="61"/>
      <c r="F3" s="61"/>
      <c r="G3" s="61"/>
      <c r="I3" s="61"/>
      <c r="J3" s="61"/>
      <c r="K3" s="61"/>
      <c r="L3" s="61"/>
      <c r="M3" s="61"/>
      <c r="N3" s="61"/>
      <c r="P3" s="61"/>
      <c r="Q3" s="61"/>
      <c r="R3" s="61"/>
      <c r="S3" s="61"/>
      <c r="T3" s="61"/>
      <c r="U3" s="61"/>
      <c r="V3" s="31"/>
      <c r="W3" s="61"/>
      <c r="X3" s="61"/>
      <c r="Y3" s="61"/>
      <c r="Z3" s="30"/>
      <c r="AA3" s="61"/>
      <c r="AB3" s="6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</row>
    <row r="4" spans="1:67">
      <c r="B4" s="32" t="s">
        <v>74</v>
      </c>
      <c r="C4" s="33" t="s">
        <v>2</v>
      </c>
      <c r="D4" s="34" t="s">
        <v>1</v>
      </c>
      <c r="E4" s="33" t="s">
        <v>0</v>
      </c>
      <c r="F4" s="33" t="s">
        <v>3</v>
      </c>
      <c r="G4" s="34" t="s">
        <v>4</v>
      </c>
      <c r="I4" s="32" t="s">
        <v>75</v>
      </c>
      <c r="J4" s="33" t="s">
        <v>2</v>
      </c>
      <c r="K4" s="34" t="s">
        <v>1</v>
      </c>
      <c r="L4" s="33" t="s">
        <v>0</v>
      </c>
      <c r="M4" s="33" t="s">
        <v>3</v>
      </c>
      <c r="N4" s="34" t="s">
        <v>4</v>
      </c>
      <c r="P4" s="38" t="s">
        <v>76</v>
      </c>
      <c r="Q4" s="55" t="s">
        <v>77</v>
      </c>
      <c r="R4" s="56" t="s">
        <v>78</v>
      </c>
      <c r="S4" s="55" t="s">
        <v>79</v>
      </c>
      <c r="T4" s="55" t="s">
        <v>80</v>
      </c>
      <c r="U4" s="56" t="s">
        <v>81</v>
      </c>
      <c r="V4" s="40"/>
      <c r="W4" s="32" t="s">
        <v>82</v>
      </c>
      <c r="X4" s="36" t="s">
        <v>65</v>
      </c>
      <c r="Y4" s="37" t="s">
        <v>66</v>
      </c>
      <c r="Z4" s="35"/>
      <c r="AA4" s="38" t="s">
        <v>83</v>
      </c>
      <c r="AB4" s="39" t="s">
        <v>67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 spans="1:67">
      <c r="B5" s="2"/>
      <c r="C5" s="3" t="s">
        <v>5</v>
      </c>
      <c r="D5" s="3" t="s">
        <v>5</v>
      </c>
      <c r="E5" s="3" t="s">
        <v>5</v>
      </c>
      <c r="F5" s="3" t="s">
        <v>5</v>
      </c>
      <c r="G5" s="3" t="s">
        <v>6</v>
      </c>
      <c r="I5" s="2"/>
      <c r="J5" s="3" t="s">
        <v>5</v>
      </c>
      <c r="K5" s="3" t="s">
        <v>5</v>
      </c>
      <c r="L5" s="3" t="s">
        <v>5</v>
      </c>
      <c r="M5" s="3" t="s">
        <v>5</v>
      </c>
      <c r="N5" s="3" t="s">
        <v>6</v>
      </c>
      <c r="P5" s="44"/>
      <c r="Q5" s="3" t="s">
        <v>5</v>
      </c>
      <c r="R5" s="3" t="s">
        <v>5</v>
      </c>
      <c r="S5" s="3" t="s">
        <v>5</v>
      </c>
      <c r="T5" s="41" t="s">
        <v>5</v>
      </c>
      <c r="U5" s="3" t="s">
        <v>6</v>
      </c>
      <c r="V5" s="42"/>
      <c r="X5" s="41"/>
      <c r="Y5" s="43"/>
      <c r="Z5" s="42"/>
      <c r="AA5" s="44"/>
      <c r="AB5" s="45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</row>
    <row r="6" spans="1:67">
      <c r="B6" s="4" t="s">
        <v>84</v>
      </c>
      <c r="C6" s="15" t="e">
        <f ca="1">_xludf.IFS(#REF!&lt;=1, 1,#REF!&lt;= 25, 2,#REF!&lt;= 50, 3,#REF!&lt;= 75, 4, TRUE, 5)</f>
        <v>#NAME?</v>
      </c>
      <c r="D6" s="15" t="e">
        <f ca="1">_xludf.IFS(#REF!&lt;=1, 1,#REF!&lt;= 25, 2,#REF!&lt;= 50, 3,#REF!&lt;= 75, 4, TRUE, 5)</f>
        <v>#NAME?</v>
      </c>
      <c r="E6" s="15" t="e">
        <f ca="1">_xludf.IFS(#REF!&lt;=1, 1,#REF!&lt;= 25, 2,#REF!&lt;= 50, 3,#REF!&lt;= 75, 4, TRUE, 5)</f>
        <v>#NAME?</v>
      </c>
      <c r="F6" s="15" t="e">
        <f ca="1">_xludf.IFS(#REF!&lt;=1, 1,#REF!&lt;= 3, 2,#REF!&lt;= 5, 3,#REF!&lt;= 7, 4, TRUE, 5)</f>
        <v>#NAME?</v>
      </c>
      <c r="G6" s="15" t="e">
        <f ca="1">_xludf.IFS(#REF!&lt;=100, 5,#REF!&lt;= 200, 4,#REF!&lt;= 350, 3,#REF!&lt;= 500, 2, TRUE, 1)</f>
        <v>#NAME?</v>
      </c>
      <c r="I6" s="4" t="s">
        <v>85</v>
      </c>
      <c r="J6" s="15" t="e">
        <f t="shared" ref="J6:J29" ca="1" si="0">C6/$C$32</f>
        <v>#NAME?</v>
      </c>
      <c r="K6" s="15" t="e">
        <f t="shared" ref="K6:K29" ca="1" si="1">D6/$D$32</f>
        <v>#NAME?</v>
      </c>
      <c r="L6" s="15" t="e">
        <f t="shared" ref="L6:L29" ca="1" si="2">E6/$E$32</f>
        <v>#NAME?</v>
      </c>
      <c r="M6" s="15" t="e">
        <f t="shared" ref="M6:M29" ca="1" si="3">F6/$F$32</f>
        <v>#NAME?</v>
      </c>
      <c r="N6" s="15" t="e">
        <f t="shared" ref="N6:N29" ca="1" si="4">G6/$G$32</f>
        <v>#NAME?</v>
      </c>
      <c r="P6" s="48" t="s">
        <v>86</v>
      </c>
      <c r="Q6" s="15" t="e">
        <f t="shared" ref="Q6:Q29" ca="1" si="5">J6*0.2</f>
        <v>#NAME?</v>
      </c>
      <c r="R6" s="15" t="e">
        <f t="shared" ref="R6:R29" ca="1" si="6">K6*0.15</f>
        <v>#NAME?</v>
      </c>
      <c r="S6" s="15" t="e">
        <f t="shared" ref="S6:S29" ca="1" si="7">L6*0.1</f>
        <v>#NAME?</v>
      </c>
      <c r="T6" s="15" t="e">
        <f t="shared" ref="T6:T29" ca="1" si="8">M6*0.25</f>
        <v>#NAME?</v>
      </c>
      <c r="U6" s="15" t="e">
        <f t="shared" ref="U6:U29" ca="1" si="9">N6*0.3</f>
        <v>#NAME?</v>
      </c>
      <c r="V6" s="46"/>
      <c r="W6" s="4" t="s">
        <v>87</v>
      </c>
      <c r="X6" s="15" t="e">
        <f t="shared" ref="X6:X29" ca="1" si="10">SQRT(SUMPRODUCT((Q6:U6 - Q$31:U$31)^2))</f>
        <v>#NAME?</v>
      </c>
      <c r="Y6" s="47" t="e">
        <f t="shared" ref="Y6:Y29" ca="1" si="11">SQRT(SUMPRODUCT((Q6:U6 - Q$32:U$32)^2))</f>
        <v>#NAME?</v>
      </c>
      <c r="Z6" s="42"/>
      <c r="AA6" s="48" t="s">
        <v>88</v>
      </c>
      <c r="AB6" s="47" t="e">
        <f t="shared" ref="AB6:AB29" ca="1" si="12">Y6 / (X6 + Y6)</f>
        <v>#NAME?</v>
      </c>
      <c r="AC6" s="42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</row>
    <row r="7" spans="1:67">
      <c r="B7" s="6" t="s">
        <v>89</v>
      </c>
      <c r="C7" s="15" t="e">
        <f ca="1">_xludf.IFS(#REF!&lt;=1, 1,#REF!&lt;= 25, 2,#REF!&lt;= 50, 3,#REF!&lt;= 75, 4, TRUE, 5)</f>
        <v>#NAME?</v>
      </c>
      <c r="D7" s="15" t="e">
        <f ca="1">_xludf.IFS(#REF!&lt;=1, 1,#REF!&lt;= 25, 2,#REF!&lt;= 50, 3,#REF!&lt;= 75, 4, TRUE, 5)</f>
        <v>#NAME?</v>
      </c>
      <c r="E7" s="15" t="e">
        <f ca="1">_xludf.IFS(#REF!&lt;=1, 1,#REF!&lt;= 25, 2,#REF!&lt;= 50, 3,#REF!&lt;= 75, 4, TRUE, 5)</f>
        <v>#NAME?</v>
      </c>
      <c r="F7" s="15" t="e">
        <f ca="1">_xludf.IFS(#REF!&lt;=1, 1,#REF!&lt;= 3, 2,#REF!&lt;= 5, 3,#REF!&lt;= 7, 4, TRUE, 5)</f>
        <v>#NAME?</v>
      </c>
      <c r="G7" s="15" t="e">
        <f ca="1">_xludf.IFS(#REF!&lt;=100, 5,#REF!&lt;= 200, 4,#REF!&lt;= 350, 3,#REF!&lt;= 500, 2, TRUE, 1)</f>
        <v>#NAME?</v>
      </c>
      <c r="I7" s="6" t="s">
        <v>90</v>
      </c>
      <c r="J7" s="15" t="e">
        <f t="shared" ca="1" si="0"/>
        <v>#NAME?</v>
      </c>
      <c r="K7" s="15" t="e">
        <f t="shared" ca="1" si="1"/>
        <v>#NAME?</v>
      </c>
      <c r="L7" s="15" t="e">
        <f t="shared" ca="1" si="2"/>
        <v>#NAME?</v>
      </c>
      <c r="M7" s="15" t="e">
        <f t="shared" ca="1" si="3"/>
        <v>#NAME?</v>
      </c>
      <c r="N7" s="15" t="e">
        <f t="shared" ca="1" si="4"/>
        <v>#NAME?</v>
      </c>
      <c r="P7" s="49" t="s">
        <v>91</v>
      </c>
      <c r="Q7" s="15" t="e">
        <f t="shared" ca="1" si="5"/>
        <v>#NAME?</v>
      </c>
      <c r="R7" s="15" t="e">
        <f t="shared" ca="1" si="6"/>
        <v>#NAME?</v>
      </c>
      <c r="S7" s="15" t="e">
        <f t="shared" ca="1" si="7"/>
        <v>#NAME?</v>
      </c>
      <c r="T7" s="15" t="e">
        <f t="shared" ca="1" si="8"/>
        <v>#NAME?</v>
      </c>
      <c r="U7" s="15" t="e">
        <f t="shared" ca="1" si="9"/>
        <v>#NAME?</v>
      </c>
      <c r="V7" s="46"/>
      <c r="W7" s="6" t="s">
        <v>92</v>
      </c>
      <c r="X7" s="15" t="e">
        <f t="shared" ca="1" si="10"/>
        <v>#NAME?</v>
      </c>
      <c r="Y7" s="47" t="e">
        <f t="shared" ca="1" si="11"/>
        <v>#NAME?</v>
      </c>
      <c r="Z7" s="42"/>
      <c r="AA7" s="49" t="s">
        <v>93</v>
      </c>
      <c r="AB7" s="47" t="e">
        <f t="shared" ca="1" si="12"/>
        <v>#NAME?</v>
      </c>
      <c r="AC7" s="42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</row>
    <row r="8" spans="1:67">
      <c r="B8" s="7" t="s">
        <v>94</v>
      </c>
      <c r="C8" s="15" t="e">
        <f ca="1">_xludf.IFS(#REF!&lt;=1, 1,#REF!&lt;= 25, 2,#REF!&lt;= 50, 3,#REF!&lt;= 75, 4, TRUE, 5)</f>
        <v>#NAME?</v>
      </c>
      <c r="D8" s="15" t="e">
        <f ca="1">_xludf.IFS(#REF!&lt;=1, 1,#REF!&lt;= 25, 2,#REF!&lt;= 50, 3,#REF!&lt;= 75, 4, TRUE, 5)</f>
        <v>#NAME?</v>
      </c>
      <c r="E8" s="15" t="e">
        <f ca="1">_xludf.IFS(#REF!&lt;=1, 1,#REF!&lt;= 25, 2,#REF!&lt;= 50, 3,#REF!&lt;= 75, 4, TRUE, 5)</f>
        <v>#NAME?</v>
      </c>
      <c r="F8" s="15" t="e">
        <f ca="1">_xludf.IFS(#REF!&lt;=1, 1,#REF!&lt;= 3, 2,#REF!&lt;= 5, 3,#REF!&lt;= 7, 4, TRUE, 5)</f>
        <v>#NAME?</v>
      </c>
      <c r="G8" s="15" t="e">
        <f ca="1">_xludf.IFS(#REF!&lt;=100, 5,#REF!&lt;= 200, 4,#REF!&lt;= 350, 3,#REF!&lt;= 500, 2, TRUE, 1)</f>
        <v>#NAME?</v>
      </c>
      <c r="I8" s="7" t="s">
        <v>95</v>
      </c>
      <c r="J8" s="15" t="e">
        <f t="shared" ca="1" si="0"/>
        <v>#NAME?</v>
      </c>
      <c r="K8" s="15" t="e">
        <f t="shared" ca="1" si="1"/>
        <v>#NAME?</v>
      </c>
      <c r="L8" s="15" t="e">
        <f t="shared" ca="1" si="2"/>
        <v>#NAME?</v>
      </c>
      <c r="M8" s="15" t="e">
        <f t="shared" ca="1" si="3"/>
        <v>#NAME?</v>
      </c>
      <c r="N8" s="15" t="e">
        <f t="shared" ca="1" si="4"/>
        <v>#NAME?</v>
      </c>
      <c r="P8" s="51" t="s">
        <v>96</v>
      </c>
      <c r="Q8" s="15" t="e">
        <f t="shared" ca="1" si="5"/>
        <v>#NAME?</v>
      </c>
      <c r="R8" s="15" t="e">
        <f t="shared" ca="1" si="6"/>
        <v>#NAME?</v>
      </c>
      <c r="S8" s="15" t="e">
        <f t="shared" ca="1" si="7"/>
        <v>#NAME?</v>
      </c>
      <c r="T8" s="15" t="e">
        <f t="shared" ca="1" si="8"/>
        <v>#NAME?</v>
      </c>
      <c r="U8" s="15" t="e">
        <f t="shared" ca="1" si="9"/>
        <v>#NAME?</v>
      </c>
      <c r="V8" s="46"/>
      <c r="W8" s="7" t="s">
        <v>97</v>
      </c>
      <c r="X8" s="15" t="e">
        <f t="shared" ca="1" si="10"/>
        <v>#NAME?</v>
      </c>
      <c r="Y8" s="47" t="e">
        <f t="shared" ca="1" si="11"/>
        <v>#NAME?</v>
      </c>
      <c r="Z8" s="42"/>
      <c r="AA8" s="51" t="s">
        <v>98</v>
      </c>
      <c r="AB8" s="47" t="e">
        <f t="shared" ca="1" si="12"/>
        <v>#NAME?</v>
      </c>
      <c r="AC8" s="42"/>
      <c r="AD8" s="46"/>
      <c r="AE8" s="64" t="s">
        <v>68</v>
      </c>
      <c r="AF8" s="65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</row>
    <row r="9" spans="1:67">
      <c r="B9" s="6" t="s">
        <v>99</v>
      </c>
      <c r="C9" s="15" t="e">
        <f ca="1">_xludf.IFS(#REF!&lt;=1, 1,#REF!&lt;= 25, 2,#REF!&lt;= 50, 3,#REF!&lt;= 75, 4, TRUE, 5)</f>
        <v>#NAME?</v>
      </c>
      <c r="D9" s="15" t="e">
        <f ca="1">_xludf.IFS(#REF!&lt;=1, 1,#REF!&lt;= 25, 2,#REF!&lt;= 50, 3,#REF!&lt;= 75, 4, TRUE, 5)</f>
        <v>#NAME?</v>
      </c>
      <c r="E9" s="15" t="e">
        <f ca="1">_xludf.IFS(#REF!&lt;=1, 1,#REF!&lt;= 25, 2,#REF!&lt;= 50, 3,#REF!&lt;= 75, 4, TRUE, 5)</f>
        <v>#NAME?</v>
      </c>
      <c r="F9" s="15" t="e">
        <f ca="1">_xludf.IFS(#REF!&lt;=1, 1,#REF!&lt;= 3, 2,#REF!&lt;= 5, 3,#REF!&lt;= 7, 4, TRUE, 5)</f>
        <v>#NAME?</v>
      </c>
      <c r="G9" s="15" t="e">
        <f ca="1">_xludf.IFS(#REF!&lt;=100, 5,#REF!&lt;= 200, 4,#REF!&lt;= 350, 3,#REF!&lt;= 500, 2, TRUE, 1)</f>
        <v>#NAME?</v>
      </c>
      <c r="I9" s="6" t="s">
        <v>100</v>
      </c>
      <c r="J9" s="15" t="e">
        <f t="shared" ca="1" si="0"/>
        <v>#NAME?</v>
      </c>
      <c r="K9" s="15" t="e">
        <f t="shared" ca="1" si="1"/>
        <v>#NAME?</v>
      </c>
      <c r="L9" s="15" t="e">
        <f t="shared" ca="1" si="2"/>
        <v>#NAME?</v>
      </c>
      <c r="M9" s="15" t="e">
        <f t="shared" ca="1" si="3"/>
        <v>#NAME?</v>
      </c>
      <c r="N9" s="15" t="e">
        <f t="shared" ca="1" si="4"/>
        <v>#NAME?</v>
      </c>
      <c r="P9" s="49" t="s">
        <v>101</v>
      </c>
      <c r="Q9" s="15" t="e">
        <f t="shared" ca="1" si="5"/>
        <v>#NAME?</v>
      </c>
      <c r="R9" s="15" t="e">
        <f t="shared" ca="1" si="6"/>
        <v>#NAME?</v>
      </c>
      <c r="S9" s="15" t="e">
        <f t="shared" ca="1" si="7"/>
        <v>#NAME?</v>
      </c>
      <c r="T9" s="15" t="e">
        <f t="shared" ca="1" si="8"/>
        <v>#NAME?</v>
      </c>
      <c r="U9" s="15" t="e">
        <f t="shared" ca="1" si="9"/>
        <v>#NAME?</v>
      </c>
      <c r="V9" s="46"/>
      <c r="W9" s="6" t="s">
        <v>102</v>
      </c>
      <c r="X9" s="15" t="e">
        <f t="shared" ca="1" si="10"/>
        <v>#NAME?</v>
      </c>
      <c r="Y9" s="47" t="e">
        <f t="shared" ca="1" si="11"/>
        <v>#NAME?</v>
      </c>
      <c r="Z9" s="42"/>
      <c r="AA9" s="49" t="s">
        <v>103</v>
      </c>
      <c r="AB9" s="47" t="e">
        <f t="shared" ca="1" si="12"/>
        <v>#NAME?</v>
      </c>
      <c r="AC9" s="42"/>
      <c r="AD9" s="46"/>
      <c r="AE9" s="50" t="str">
        <f ca="1">IFERROR(__xludf.DUMMYFUNCTION("SORTN(AA6:AB29, 5, 0, AB6:AB29, FALSE)"),"Bubur tinotuan (Manado)")</f>
        <v>Bubur tinotuan (Manado)</v>
      </c>
      <c r="AF9" s="46">
        <f ca="1">IFERROR(__xludf.DUMMYFUNCTION("""COMPUTED_VALUE"""),0.705605991545225)</f>
        <v>0.70560599154522496</v>
      </c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</row>
    <row r="10" spans="1:67">
      <c r="A10" s="8"/>
      <c r="B10" s="9" t="s">
        <v>104</v>
      </c>
      <c r="C10" s="15" t="e">
        <f ca="1">_xludf.IFS(#REF!&lt;=1, 1,#REF!&lt;= 25, 2,#REF!&lt;= 50, 3,#REF!&lt;= 75, 4, TRUE, 5)</f>
        <v>#NAME?</v>
      </c>
      <c r="D10" s="15" t="e">
        <f ca="1">_xludf.IFS(#REF!&lt;=1, 1,#REF!&lt;= 25, 2,#REF!&lt;= 50, 3,#REF!&lt;= 75, 4, TRUE, 5)</f>
        <v>#NAME?</v>
      </c>
      <c r="E10" s="15" t="e">
        <f ca="1">_xludf.IFS(#REF!&lt;=1, 1,#REF!&lt;= 25, 2,#REF!&lt;= 50, 3,#REF!&lt;= 75, 4, TRUE, 5)</f>
        <v>#NAME?</v>
      </c>
      <c r="F10" s="15" t="e">
        <f ca="1">_xludf.IFS(#REF!&lt;=1, 1,#REF!&lt;= 3, 2,#REF!&lt;= 5, 3,#REF!&lt;= 7, 4, TRUE, 5)</f>
        <v>#NAME?</v>
      </c>
      <c r="G10" s="15" t="e">
        <f ca="1">_xludf.IFS(#REF!&lt;=100, 5,#REF!&lt;= 200, 4,#REF!&lt;= 350, 3,#REF!&lt;= 500, 2, TRUE, 1)</f>
        <v>#NAME?</v>
      </c>
      <c r="H10" s="8"/>
      <c r="I10" s="9" t="s">
        <v>105</v>
      </c>
      <c r="J10" s="15" t="e">
        <f t="shared" ca="1" si="0"/>
        <v>#NAME?</v>
      </c>
      <c r="K10" s="15" t="e">
        <f t="shared" ca="1" si="1"/>
        <v>#NAME?</v>
      </c>
      <c r="L10" s="15" t="e">
        <f t="shared" ca="1" si="2"/>
        <v>#NAME?</v>
      </c>
      <c r="M10" s="15" t="e">
        <f t="shared" ca="1" si="3"/>
        <v>#NAME?</v>
      </c>
      <c r="N10" s="15" t="e">
        <f t="shared" ca="1" si="4"/>
        <v>#NAME?</v>
      </c>
      <c r="O10" s="8"/>
      <c r="P10" s="52" t="s">
        <v>106</v>
      </c>
      <c r="Q10" s="15" t="e">
        <f t="shared" ca="1" si="5"/>
        <v>#NAME?</v>
      </c>
      <c r="R10" s="15" t="e">
        <f t="shared" ca="1" si="6"/>
        <v>#NAME?</v>
      </c>
      <c r="S10" s="15" t="e">
        <f t="shared" ca="1" si="7"/>
        <v>#NAME?</v>
      </c>
      <c r="T10" s="15" t="e">
        <f t="shared" ca="1" si="8"/>
        <v>#NAME?</v>
      </c>
      <c r="U10" s="15" t="e">
        <f t="shared" ca="1" si="9"/>
        <v>#NAME?</v>
      </c>
      <c r="V10" s="46"/>
      <c r="W10" s="9" t="s">
        <v>107</v>
      </c>
      <c r="X10" s="15" t="e">
        <f t="shared" ca="1" si="10"/>
        <v>#NAME?</v>
      </c>
      <c r="Y10" s="47" t="e">
        <f t="shared" ca="1" si="11"/>
        <v>#NAME?</v>
      </c>
      <c r="Z10" s="42"/>
      <c r="AA10" s="52" t="s">
        <v>108</v>
      </c>
      <c r="AB10" s="47" t="e">
        <f t="shared" ca="1" si="12"/>
        <v>#NAME?</v>
      </c>
      <c r="AC10" s="42"/>
      <c r="AD10" s="46"/>
      <c r="AE10" s="50" t="str">
        <f ca="1">IFERROR(__xludf.DUMMYFUNCTION("""COMPUTED_VALUE"""),"Keripik kentang")</f>
        <v>Keripik kentang</v>
      </c>
      <c r="AF10" s="46">
        <f ca="1">IFERROR(__xludf.DUMMYFUNCTION("""COMPUTED_VALUE"""),0.694931645304039)</f>
        <v>0.69493164530403895</v>
      </c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</row>
    <row r="11" spans="1:67">
      <c r="A11" s="8"/>
      <c r="B11" s="12" t="s">
        <v>109</v>
      </c>
      <c r="C11" s="15" t="e">
        <f ca="1">_xludf.IFS(#REF!&lt;=1, 1,#REF!&lt;= 25, 2,#REF!&lt;= 50, 3,#REF!&lt;= 75, 4, TRUE, 5)</f>
        <v>#NAME?</v>
      </c>
      <c r="D11" s="15" t="e">
        <f ca="1">_xludf.IFS(#REF!&lt;=1, 1,#REF!&lt;= 25, 2,#REF!&lt;= 50, 3,#REF!&lt;= 75, 4, TRUE, 5)</f>
        <v>#NAME?</v>
      </c>
      <c r="E11" s="15" t="e">
        <f ca="1">_xludf.IFS(#REF!&lt;=1, 1,#REF!&lt;= 25, 2,#REF!&lt;= 50, 3,#REF!&lt;= 75, 4, TRUE, 5)</f>
        <v>#NAME?</v>
      </c>
      <c r="F11" s="15" t="e">
        <f ca="1">_xludf.IFS(#REF!&lt;=1, 1,#REF!&lt;= 3, 2,#REF!&lt;= 5, 3,#REF!&lt;= 7, 4, TRUE, 5)</f>
        <v>#NAME?</v>
      </c>
      <c r="G11" s="15" t="e">
        <f ca="1">_xludf.IFS(#REF!&lt;=100, 5,#REF!&lt;= 200, 4,#REF!&lt;= 350, 3,#REF!&lt;= 500, 2, TRUE, 1)</f>
        <v>#NAME?</v>
      </c>
      <c r="H11" s="8"/>
      <c r="I11" s="12" t="s">
        <v>110</v>
      </c>
      <c r="J11" s="15" t="e">
        <f t="shared" ca="1" si="0"/>
        <v>#NAME?</v>
      </c>
      <c r="K11" s="15" t="e">
        <f t="shared" ca="1" si="1"/>
        <v>#NAME?</v>
      </c>
      <c r="L11" s="15" t="e">
        <f t="shared" ca="1" si="2"/>
        <v>#NAME?</v>
      </c>
      <c r="M11" s="15" t="e">
        <f t="shared" ca="1" si="3"/>
        <v>#NAME?</v>
      </c>
      <c r="N11" s="15" t="e">
        <f t="shared" ca="1" si="4"/>
        <v>#NAME?</v>
      </c>
      <c r="O11" s="8"/>
      <c r="P11" s="53" t="s">
        <v>111</v>
      </c>
      <c r="Q11" s="15" t="e">
        <f t="shared" ca="1" si="5"/>
        <v>#NAME?</v>
      </c>
      <c r="R11" s="15" t="e">
        <f t="shared" ca="1" si="6"/>
        <v>#NAME?</v>
      </c>
      <c r="S11" s="15" t="e">
        <f t="shared" ca="1" si="7"/>
        <v>#NAME?</v>
      </c>
      <c r="T11" s="15" t="e">
        <f t="shared" ca="1" si="8"/>
        <v>#NAME?</v>
      </c>
      <c r="U11" s="15" t="e">
        <f t="shared" ca="1" si="9"/>
        <v>#NAME?</v>
      </c>
      <c r="V11" s="46"/>
      <c r="W11" s="12" t="s">
        <v>112</v>
      </c>
      <c r="X11" s="15" t="e">
        <f t="shared" ca="1" si="10"/>
        <v>#NAME?</v>
      </c>
      <c r="Y11" s="47" t="e">
        <f t="shared" ca="1" si="11"/>
        <v>#NAME?</v>
      </c>
      <c r="Z11" s="42"/>
      <c r="AA11" s="53" t="s">
        <v>113</v>
      </c>
      <c r="AB11" s="47" t="e">
        <f t="shared" ca="1" si="12"/>
        <v>#NAME?</v>
      </c>
      <c r="AC11" s="42"/>
      <c r="AD11" s="46"/>
      <c r="AE11" s="50" t="str">
        <f ca="1">IFERROR(__xludf.DUMMYFUNCTION("""COMPUTED_VALUE"""),"Kerupuk cumi goreng")</f>
        <v>Kerupuk cumi goreng</v>
      </c>
      <c r="AF11" s="46">
        <f ca="1">IFERROR(__xludf.DUMMYFUNCTION("""COMPUTED_VALUE"""),0.694931645304039)</f>
        <v>0.69493164530403895</v>
      </c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</row>
    <row r="12" spans="1:67">
      <c r="B12" s="7" t="s">
        <v>114</v>
      </c>
      <c r="C12" s="15" t="e">
        <f ca="1">_xludf.IFS(#REF!&lt;=1, 1,#REF!&lt;= 25, 2,#REF!&lt;= 50, 3,#REF!&lt;= 75, 4, TRUE, 5)</f>
        <v>#NAME?</v>
      </c>
      <c r="D12" s="15" t="e">
        <f ca="1">_xludf.IFS(#REF!&lt;=1, 1,#REF!&lt;= 25, 2,#REF!&lt;= 50, 3,#REF!&lt;= 75, 4, TRUE, 5)</f>
        <v>#NAME?</v>
      </c>
      <c r="E12" s="15" t="e">
        <f ca="1">_xludf.IFS(#REF!&lt;=1, 1,#REF!&lt;= 25, 2,#REF!&lt;= 50, 3,#REF!&lt;= 75, 4, TRUE, 5)</f>
        <v>#NAME?</v>
      </c>
      <c r="F12" s="15" t="e">
        <f ca="1">_xludf.IFS(#REF!&lt;=1, 1,#REF!&lt;= 3, 2,#REF!&lt;= 5, 3,#REF!&lt;= 7, 4, TRUE, 5)</f>
        <v>#NAME?</v>
      </c>
      <c r="G12" s="15" t="e">
        <f ca="1">_xludf.IFS(#REF!&lt;=100, 5,#REF!&lt;= 200, 4,#REF!&lt;= 350, 3,#REF!&lt;= 500, 2, TRUE, 1)</f>
        <v>#NAME?</v>
      </c>
      <c r="I12" s="7" t="s">
        <v>115</v>
      </c>
      <c r="J12" s="15" t="e">
        <f t="shared" ca="1" si="0"/>
        <v>#NAME?</v>
      </c>
      <c r="K12" s="15" t="e">
        <f t="shared" ca="1" si="1"/>
        <v>#NAME?</v>
      </c>
      <c r="L12" s="15" t="e">
        <f t="shared" ca="1" si="2"/>
        <v>#NAME?</v>
      </c>
      <c r="M12" s="15" t="e">
        <f t="shared" ca="1" si="3"/>
        <v>#NAME?</v>
      </c>
      <c r="N12" s="15" t="e">
        <f t="shared" ca="1" si="4"/>
        <v>#NAME?</v>
      </c>
      <c r="P12" s="51" t="s">
        <v>116</v>
      </c>
      <c r="Q12" s="15" t="e">
        <f t="shared" ca="1" si="5"/>
        <v>#NAME?</v>
      </c>
      <c r="R12" s="15" t="e">
        <f t="shared" ca="1" si="6"/>
        <v>#NAME?</v>
      </c>
      <c r="S12" s="15" t="e">
        <f t="shared" ca="1" si="7"/>
        <v>#NAME?</v>
      </c>
      <c r="T12" s="15" t="e">
        <f t="shared" ca="1" si="8"/>
        <v>#NAME?</v>
      </c>
      <c r="U12" s="15" t="e">
        <f t="shared" ca="1" si="9"/>
        <v>#NAME?</v>
      </c>
      <c r="V12" s="46"/>
      <c r="W12" s="7" t="s">
        <v>117</v>
      </c>
      <c r="X12" s="15" t="e">
        <f t="shared" ca="1" si="10"/>
        <v>#NAME?</v>
      </c>
      <c r="Y12" s="47" t="e">
        <f t="shared" ca="1" si="11"/>
        <v>#NAME?</v>
      </c>
      <c r="Z12" s="42"/>
      <c r="AA12" s="51" t="s">
        <v>118</v>
      </c>
      <c r="AB12" s="47" t="e">
        <f t="shared" ca="1" si="12"/>
        <v>#NAME?</v>
      </c>
      <c r="AC12" s="42"/>
      <c r="AD12" s="46"/>
      <c r="AE12" s="50" t="str">
        <f ca="1">IFERROR(__xludf.DUMMYFUNCTION("""COMPUTED_VALUE"""),"Kerupuk udang goreng")</f>
        <v>Kerupuk udang goreng</v>
      </c>
      <c r="AF12" s="46">
        <f ca="1">IFERROR(__xludf.DUMMYFUNCTION("""COMPUTED_VALUE"""),0.641729632898926)</f>
        <v>0.64172963289892604</v>
      </c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</row>
    <row r="13" spans="1:67">
      <c r="B13" s="7" t="s">
        <v>119</v>
      </c>
      <c r="C13" s="15" t="e">
        <f ca="1">_xludf.IFS(#REF!&lt;=1, 1,#REF!&lt;= 25, 2,#REF!&lt;= 50, 3,#REF!&lt;= 75, 4, TRUE, 5)</f>
        <v>#NAME?</v>
      </c>
      <c r="D13" s="15" t="e">
        <f ca="1">_xludf.IFS(#REF!&lt;=1, 1,#REF!&lt;= 25, 2,#REF!&lt;= 50, 3,#REF!&lt;= 75, 4, TRUE, 5)</f>
        <v>#NAME?</v>
      </c>
      <c r="E13" s="15" t="e">
        <f ca="1">_xludf.IFS(#REF!&lt;=1, 1,#REF!&lt;= 25, 2,#REF!&lt;= 50, 3,#REF!&lt;= 75, 4, TRUE, 5)</f>
        <v>#NAME?</v>
      </c>
      <c r="F13" s="15" t="e">
        <f ca="1">_xludf.IFS(#REF!&lt;=1, 1,#REF!&lt;= 3, 2,#REF!&lt;= 5, 3,#REF!&lt;= 7, 4, TRUE, 5)</f>
        <v>#NAME?</v>
      </c>
      <c r="G13" s="15" t="e">
        <f ca="1">_xludf.IFS(#REF!&lt;=100, 5,#REF!&lt;= 200, 4,#REF!&lt;= 350, 3,#REF!&lt;= 500, 2, TRUE, 1)</f>
        <v>#NAME?</v>
      </c>
      <c r="I13" s="7" t="s">
        <v>120</v>
      </c>
      <c r="J13" s="15" t="e">
        <f t="shared" ca="1" si="0"/>
        <v>#NAME?</v>
      </c>
      <c r="K13" s="15" t="e">
        <f t="shared" ca="1" si="1"/>
        <v>#NAME?</v>
      </c>
      <c r="L13" s="15" t="e">
        <f t="shared" ca="1" si="2"/>
        <v>#NAME?</v>
      </c>
      <c r="M13" s="15" t="e">
        <f t="shared" ca="1" si="3"/>
        <v>#NAME?</v>
      </c>
      <c r="N13" s="15" t="e">
        <f t="shared" ca="1" si="4"/>
        <v>#NAME?</v>
      </c>
      <c r="P13" s="51" t="s">
        <v>121</v>
      </c>
      <c r="Q13" s="15" t="e">
        <f t="shared" ca="1" si="5"/>
        <v>#NAME?</v>
      </c>
      <c r="R13" s="15" t="e">
        <f t="shared" ca="1" si="6"/>
        <v>#NAME?</v>
      </c>
      <c r="S13" s="15" t="e">
        <f t="shared" ca="1" si="7"/>
        <v>#NAME?</v>
      </c>
      <c r="T13" s="15" t="e">
        <f t="shared" ca="1" si="8"/>
        <v>#NAME?</v>
      </c>
      <c r="U13" s="15" t="e">
        <f t="shared" ca="1" si="9"/>
        <v>#NAME?</v>
      </c>
      <c r="V13" s="46"/>
      <c r="W13" s="7" t="s">
        <v>122</v>
      </c>
      <c r="X13" s="15" t="e">
        <f t="shared" ca="1" si="10"/>
        <v>#NAME?</v>
      </c>
      <c r="Y13" s="47" t="e">
        <f t="shared" ca="1" si="11"/>
        <v>#NAME?</v>
      </c>
      <c r="Z13" s="42"/>
      <c r="AA13" s="51" t="s">
        <v>123</v>
      </c>
      <c r="AB13" s="47" t="e">
        <f t="shared" ca="1" si="12"/>
        <v>#NAME?</v>
      </c>
      <c r="AC13" s="42"/>
      <c r="AD13" s="46"/>
      <c r="AE13" s="50" t="str">
        <f ca="1">IFERROR(__xludf.DUMMYFUNCTION("""COMPUTED_VALUE"""),"Kacang hijau, rebus")</f>
        <v>Kacang hijau, rebus</v>
      </c>
      <c r="AF13" s="46">
        <f ca="1">IFERROR(__xludf.DUMMYFUNCTION("""COMPUTED_VALUE"""),0.5931318398996)</f>
        <v>0.59313183989960006</v>
      </c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</row>
    <row r="14" spans="1:67">
      <c r="B14" s="7" t="s">
        <v>124</v>
      </c>
      <c r="C14" s="15" t="e">
        <f ca="1">_xludf.IFS(#REF!&lt;=1, 1,#REF!&lt;= 25, 2,#REF!&lt;= 50, 3,#REF!&lt;= 75, 4, TRUE, 5)</f>
        <v>#NAME?</v>
      </c>
      <c r="D14" s="15" t="e">
        <f ca="1">_xludf.IFS(#REF!&lt;=1, 1,#REF!&lt;= 25, 2,#REF!&lt;= 50, 3,#REF!&lt;= 75, 4, TRUE, 5)</f>
        <v>#NAME?</v>
      </c>
      <c r="E14" s="15" t="e">
        <f ca="1">_xludf.IFS(#REF!&lt;=1, 1,#REF!&lt;= 25, 2,#REF!&lt;= 50, 3,#REF!&lt;= 75, 4, TRUE, 5)</f>
        <v>#NAME?</v>
      </c>
      <c r="F14" s="15" t="e">
        <f ca="1">_xludf.IFS(#REF!&lt;=1, 1,#REF!&lt;= 3, 2,#REF!&lt;= 5, 3,#REF!&lt;= 7, 4, TRUE, 5)</f>
        <v>#NAME?</v>
      </c>
      <c r="G14" s="15" t="e">
        <f ca="1">_xludf.IFS(#REF!&lt;=100, 5,#REF!&lt;= 200, 4,#REF!&lt;= 350, 3,#REF!&lt;= 500, 2, TRUE, 1)</f>
        <v>#NAME?</v>
      </c>
      <c r="I14" s="7" t="s">
        <v>125</v>
      </c>
      <c r="J14" s="15" t="e">
        <f t="shared" ca="1" si="0"/>
        <v>#NAME?</v>
      </c>
      <c r="K14" s="15" t="e">
        <f t="shared" ca="1" si="1"/>
        <v>#NAME?</v>
      </c>
      <c r="L14" s="15" t="e">
        <f t="shared" ca="1" si="2"/>
        <v>#NAME?</v>
      </c>
      <c r="M14" s="15" t="e">
        <f t="shared" ca="1" si="3"/>
        <v>#NAME?</v>
      </c>
      <c r="N14" s="15" t="e">
        <f t="shared" ca="1" si="4"/>
        <v>#NAME?</v>
      </c>
      <c r="P14" s="51" t="s">
        <v>126</v>
      </c>
      <c r="Q14" s="15" t="e">
        <f t="shared" ca="1" si="5"/>
        <v>#NAME?</v>
      </c>
      <c r="R14" s="15" t="e">
        <f t="shared" ca="1" si="6"/>
        <v>#NAME?</v>
      </c>
      <c r="S14" s="15" t="e">
        <f t="shared" ca="1" si="7"/>
        <v>#NAME?</v>
      </c>
      <c r="T14" s="15" t="e">
        <f t="shared" ca="1" si="8"/>
        <v>#NAME?</v>
      </c>
      <c r="U14" s="15" t="e">
        <f t="shared" ca="1" si="9"/>
        <v>#NAME?</v>
      </c>
      <c r="V14" s="46"/>
      <c r="W14" s="7" t="s">
        <v>127</v>
      </c>
      <c r="X14" s="15" t="e">
        <f t="shared" ca="1" si="10"/>
        <v>#NAME?</v>
      </c>
      <c r="Y14" s="47" t="e">
        <f t="shared" ca="1" si="11"/>
        <v>#NAME?</v>
      </c>
      <c r="Z14" s="42"/>
      <c r="AA14" s="51" t="s">
        <v>128</v>
      </c>
      <c r="AB14" s="47" t="e">
        <f t="shared" ca="1" si="12"/>
        <v>#NAME?</v>
      </c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</row>
    <row r="15" spans="1:67">
      <c r="B15" s="7" t="s">
        <v>129</v>
      </c>
      <c r="C15" s="15" t="e">
        <f ca="1">_xludf.IFS(#REF!&lt;=1, 1,#REF!&lt;= 25, 2,#REF!&lt;= 50, 3,#REF!&lt;= 75, 4, TRUE, 5)</f>
        <v>#NAME?</v>
      </c>
      <c r="D15" s="15" t="e">
        <f ca="1">_xludf.IFS(#REF!&lt;=1, 1,#REF!&lt;= 25, 2,#REF!&lt;= 50, 3,#REF!&lt;= 75, 4, TRUE, 5)</f>
        <v>#NAME?</v>
      </c>
      <c r="E15" s="15" t="e">
        <f ca="1">_xludf.IFS(#REF!&lt;=1, 1,#REF!&lt;= 25, 2,#REF!&lt;= 50, 3,#REF!&lt;= 75, 4, TRUE, 5)</f>
        <v>#NAME?</v>
      </c>
      <c r="F15" s="15" t="e">
        <f ca="1">_xludf.IFS(#REF!&lt;=1, 1,#REF!&lt;= 3, 2,#REF!&lt;= 5, 3,#REF!&lt;= 7, 4, TRUE, 5)</f>
        <v>#NAME?</v>
      </c>
      <c r="G15" s="15" t="e">
        <f ca="1">_xludf.IFS(#REF!&lt;=100, 5,#REF!&lt;= 200, 4,#REF!&lt;= 350, 3,#REF!&lt;= 500, 2, TRUE, 1)</f>
        <v>#NAME?</v>
      </c>
      <c r="I15" s="7" t="s">
        <v>130</v>
      </c>
      <c r="J15" s="15" t="e">
        <f t="shared" ca="1" si="0"/>
        <v>#NAME?</v>
      </c>
      <c r="K15" s="15" t="e">
        <f t="shared" ca="1" si="1"/>
        <v>#NAME?</v>
      </c>
      <c r="L15" s="15" t="e">
        <f t="shared" ca="1" si="2"/>
        <v>#NAME?</v>
      </c>
      <c r="M15" s="15" t="e">
        <f t="shared" ca="1" si="3"/>
        <v>#NAME?</v>
      </c>
      <c r="N15" s="15" t="e">
        <f t="shared" ca="1" si="4"/>
        <v>#NAME?</v>
      </c>
      <c r="P15" s="51" t="s">
        <v>131</v>
      </c>
      <c r="Q15" s="15" t="e">
        <f t="shared" ca="1" si="5"/>
        <v>#NAME?</v>
      </c>
      <c r="R15" s="15" t="e">
        <f t="shared" ca="1" si="6"/>
        <v>#NAME?</v>
      </c>
      <c r="S15" s="15" t="e">
        <f t="shared" ca="1" si="7"/>
        <v>#NAME?</v>
      </c>
      <c r="T15" s="15" t="e">
        <f t="shared" ca="1" si="8"/>
        <v>#NAME?</v>
      </c>
      <c r="U15" s="15" t="e">
        <f t="shared" ca="1" si="9"/>
        <v>#NAME?</v>
      </c>
      <c r="V15" s="46"/>
      <c r="W15" s="7" t="s">
        <v>132</v>
      </c>
      <c r="X15" s="15" t="e">
        <f t="shared" ca="1" si="10"/>
        <v>#NAME?</v>
      </c>
      <c r="Y15" s="47" t="e">
        <f t="shared" ca="1" si="11"/>
        <v>#NAME?</v>
      </c>
      <c r="Z15" s="42"/>
      <c r="AA15" s="51" t="s">
        <v>133</v>
      </c>
      <c r="AB15" s="47" t="e">
        <f t="shared" ca="1" si="12"/>
        <v>#NAME?</v>
      </c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</row>
    <row r="16" spans="1:67">
      <c r="B16" s="7" t="s">
        <v>134</v>
      </c>
      <c r="C16" s="15" t="e">
        <f ca="1">_xludf.IFS(#REF!&lt;=1, 1,#REF!&lt;= 25, 2,#REF!&lt;= 50, 3,#REF!&lt;= 75, 4, TRUE, 5)</f>
        <v>#NAME?</v>
      </c>
      <c r="D16" s="15" t="e">
        <f ca="1">_xludf.IFS(#REF!&lt;=1, 1,#REF!&lt;= 25, 2,#REF!&lt;= 50, 3,#REF!&lt;= 75, 4, TRUE, 5)</f>
        <v>#NAME?</v>
      </c>
      <c r="E16" s="15" t="e">
        <f ca="1">_xludf.IFS(#REF!&lt;=1, 1,#REF!&lt;= 25, 2,#REF!&lt;= 50, 3,#REF!&lt;= 75, 4, TRUE, 5)</f>
        <v>#NAME?</v>
      </c>
      <c r="F16" s="15" t="e">
        <f ca="1">_xludf.IFS(#REF!&lt;=1, 1,#REF!&lt;= 3, 2,#REF!&lt;= 5, 3,#REF!&lt;= 7, 4, TRUE, 5)</f>
        <v>#NAME?</v>
      </c>
      <c r="G16" s="15" t="e">
        <f ca="1">_xludf.IFS(#REF!&lt;=100, 5,#REF!&lt;= 200, 4,#REF!&lt;= 350, 3,#REF!&lt;= 500, 2, TRUE, 1)</f>
        <v>#NAME?</v>
      </c>
      <c r="I16" s="7" t="s">
        <v>135</v>
      </c>
      <c r="J16" s="15" t="e">
        <f t="shared" ca="1" si="0"/>
        <v>#NAME?</v>
      </c>
      <c r="K16" s="15" t="e">
        <f t="shared" ca="1" si="1"/>
        <v>#NAME?</v>
      </c>
      <c r="L16" s="15" t="e">
        <f t="shared" ca="1" si="2"/>
        <v>#NAME?</v>
      </c>
      <c r="M16" s="15" t="e">
        <f t="shared" ca="1" si="3"/>
        <v>#NAME?</v>
      </c>
      <c r="N16" s="15" t="e">
        <f t="shared" ca="1" si="4"/>
        <v>#NAME?</v>
      </c>
      <c r="P16" s="51" t="s">
        <v>136</v>
      </c>
      <c r="Q16" s="15" t="e">
        <f t="shared" ca="1" si="5"/>
        <v>#NAME?</v>
      </c>
      <c r="R16" s="15" t="e">
        <f t="shared" ca="1" si="6"/>
        <v>#NAME?</v>
      </c>
      <c r="S16" s="15" t="e">
        <f t="shared" ca="1" si="7"/>
        <v>#NAME?</v>
      </c>
      <c r="T16" s="15" t="e">
        <f t="shared" ca="1" si="8"/>
        <v>#NAME?</v>
      </c>
      <c r="U16" s="15" t="e">
        <f t="shared" ca="1" si="9"/>
        <v>#NAME?</v>
      </c>
      <c r="V16" s="46"/>
      <c r="W16" s="7" t="s">
        <v>137</v>
      </c>
      <c r="X16" s="15" t="e">
        <f t="shared" ca="1" si="10"/>
        <v>#NAME?</v>
      </c>
      <c r="Y16" s="47" t="e">
        <f t="shared" ca="1" si="11"/>
        <v>#NAME?</v>
      </c>
      <c r="Z16" s="42"/>
      <c r="AA16" s="51" t="s">
        <v>138</v>
      </c>
      <c r="AB16" s="47" t="e">
        <f t="shared" ca="1" si="12"/>
        <v>#NAME?</v>
      </c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</row>
    <row r="17" spans="2:67">
      <c r="B17" s="7" t="s">
        <v>139</v>
      </c>
      <c r="C17" s="15" t="e">
        <f ca="1">_xludf.IFS(#REF!&lt;=1, 1,#REF!&lt;= 25, 2,#REF!&lt;= 50, 3,#REF!&lt;= 75, 4, TRUE, 5)</f>
        <v>#NAME?</v>
      </c>
      <c r="D17" s="15" t="e">
        <f ca="1">_xludf.IFS(#REF!&lt;=1, 1,#REF!&lt;= 25, 2,#REF!&lt;= 50, 3,#REF!&lt;= 75, 4, TRUE, 5)</f>
        <v>#NAME?</v>
      </c>
      <c r="E17" s="15" t="e">
        <f ca="1">_xludf.IFS(#REF!&lt;=1, 1,#REF!&lt;= 25, 2,#REF!&lt;= 50, 3,#REF!&lt;= 75, 4, TRUE, 5)</f>
        <v>#NAME?</v>
      </c>
      <c r="F17" s="15" t="e">
        <f ca="1">_xludf.IFS(#REF!&lt;=1, 1,#REF!&lt;= 3, 2,#REF!&lt;= 5, 3,#REF!&lt;= 7, 4, TRUE, 5)</f>
        <v>#NAME?</v>
      </c>
      <c r="G17" s="15" t="e">
        <f ca="1">_xludf.IFS(#REF!&lt;=100, 5,#REF!&lt;= 200, 4,#REF!&lt;= 350, 3,#REF!&lt;= 500, 2, TRUE, 1)</f>
        <v>#NAME?</v>
      </c>
      <c r="I17" s="7" t="s">
        <v>140</v>
      </c>
      <c r="J17" s="15" t="e">
        <f t="shared" ca="1" si="0"/>
        <v>#NAME?</v>
      </c>
      <c r="K17" s="15" t="e">
        <f t="shared" ca="1" si="1"/>
        <v>#NAME?</v>
      </c>
      <c r="L17" s="15" t="e">
        <f t="shared" ca="1" si="2"/>
        <v>#NAME?</v>
      </c>
      <c r="M17" s="15" t="e">
        <f t="shared" ca="1" si="3"/>
        <v>#NAME?</v>
      </c>
      <c r="N17" s="15" t="e">
        <f t="shared" ca="1" si="4"/>
        <v>#NAME?</v>
      </c>
      <c r="P17" s="51" t="s">
        <v>141</v>
      </c>
      <c r="Q17" s="15" t="e">
        <f t="shared" ca="1" si="5"/>
        <v>#NAME?</v>
      </c>
      <c r="R17" s="15" t="e">
        <f t="shared" ca="1" si="6"/>
        <v>#NAME?</v>
      </c>
      <c r="S17" s="15" t="e">
        <f t="shared" ca="1" si="7"/>
        <v>#NAME?</v>
      </c>
      <c r="T17" s="15" t="e">
        <f t="shared" ca="1" si="8"/>
        <v>#NAME?</v>
      </c>
      <c r="U17" s="15" t="e">
        <f t="shared" ca="1" si="9"/>
        <v>#NAME?</v>
      </c>
      <c r="V17" s="46"/>
      <c r="W17" s="7" t="s">
        <v>142</v>
      </c>
      <c r="X17" s="15" t="e">
        <f t="shared" ca="1" si="10"/>
        <v>#NAME?</v>
      </c>
      <c r="Y17" s="47" t="e">
        <f t="shared" ca="1" si="11"/>
        <v>#NAME?</v>
      </c>
      <c r="Z17" s="42"/>
      <c r="AA17" s="51" t="s">
        <v>143</v>
      </c>
      <c r="AB17" s="47" t="e">
        <f t="shared" ca="1" si="12"/>
        <v>#NAME?</v>
      </c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</row>
    <row r="18" spans="2:67">
      <c r="B18" s="7" t="s">
        <v>144</v>
      </c>
      <c r="C18" s="15" t="e">
        <f ca="1">_xludf.IFS(#REF!&lt;=1, 1,#REF!&lt;= 25, 2,#REF!&lt;= 50, 3,#REF!&lt;= 75, 4, TRUE, 5)</f>
        <v>#NAME?</v>
      </c>
      <c r="D18" s="15" t="e">
        <f ca="1">_xludf.IFS(#REF!&lt;=1, 1,#REF!&lt;= 25, 2,#REF!&lt;= 50, 3,#REF!&lt;= 75, 4, TRUE, 5)</f>
        <v>#NAME?</v>
      </c>
      <c r="E18" s="15" t="e">
        <f ca="1">_xludf.IFS(#REF!&lt;=1, 1,#REF!&lt;= 25, 2,#REF!&lt;= 50, 3,#REF!&lt;= 75, 4, TRUE, 5)</f>
        <v>#NAME?</v>
      </c>
      <c r="F18" s="15" t="e">
        <f ca="1">_xludf.IFS(#REF!&lt;=1, 1,#REF!&lt;= 3, 2,#REF!&lt;= 5, 3,#REF!&lt;= 7, 4, TRUE, 5)</f>
        <v>#NAME?</v>
      </c>
      <c r="G18" s="15" t="e">
        <f ca="1">_xludf.IFS(#REF!&lt;=100, 5,#REF!&lt;= 200, 4,#REF!&lt;= 350, 3,#REF!&lt;= 500, 2, TRUE, 1)</f>
        <v>#NAME?</v>
      </c>
      <c r="I18" s="7" t="s">
        <v>145</v>
      </c>
      <c r="J18" s="15" t="e">
        <f t="shared" ca="1" si="0"/>
        <v>#NAME?</v>
      </c>
      <c r="K18" s="15" t="e">
        <f t="shared" ca="1" si="1"/>
        <v>#NAME?</v>
      </c>
      <c r="L18" s="15" t="e">
        <f t="shared" ca="1" si="2"/>
        <v>#NAME?</v>
      </c>
      <c r="M18" s="15" t="e">
        <f t="shared" ca="1" si="3"/>
        <v>#NAME?</v>
      </c>
      <c r="N18" s="15" t="e">
        <f t="shared" ca="1" si="4"/>
        <v>#NAME?</v>
      </c>
      <c r="P18" s="51" t="s">
        <v>146</v>
      </c>
      <c r="Q18" s="15" t="e">
        <f t="shared" ca="1" si="5"/>
        <v>#NAME?</v>
      </c>
      <c r="R18" s="15" t="e">
        <f t="shared" ca="1" si="6"/>
        <v>#NAME?</v>
      </c>
      <c r="S18" s="15" t="e">
        <f t="shared" ca="1" si="7"/>
        <v>#NAME?</v>
      </c>
      <c r="T18" s="15" t="e">
        <f t="shared" ca="1" si="8"/>
        <v>#NAME?</v>
      </c>
      <c r="U18" s="15" t="e">
        <f t="shared" ca="1" si="9"/>
        <v>#NAME?</v>
      </c>
      <c r="V18" s="46"/>
      <c r="W18" s="7" t="s">
        <v>147</v>
      </c>
      <c r="X18" s="15" t="e">
        <f t="shared" ca="1" si="10"/>
        <v>#NAME?</v>
      </c>
      <c r="Y18" s="47" t="e">
        <f t="shared" ca="1" si="11"/>
        <v>#NAME?</v>
      </c>
      <c r="Z18" s="42"/>
      <c r="AA18" s="51" t="s">
        <v>148</v>
      </c>
      <c r="AB18" s="47" t="e">
        <f t="shared" ca="1" si="12"/>
        <v>#NAME?</v>
      </c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</row>
    <row r="19" spans="2:67" ht="13">
      <c r="B19" s="13" t="s">
        <v>149</v>
      </c>
      <c r="C19" s="15" t="e">
        <f ca="1">_xludf.IFS(#REF!&lt;=1, 1,#REF!&lt;= 25, 2,#REF!&lt;= 50, 3,#REF!&lt;= 75, 4, TRUE, 5)</f>
        <v>#NAME?</v>
      </c>
      <c r="D19" s="15" t="e">
        <f ca="1">_xludf.IFS(#REF!&lt;=1, 1,#REF!&lt;= 25, 2,#REF!&lt;= 50, 3,#REF!&lt;= 75, 4, TRUE, 5)</f>
        <v>#NAME?</v>
      </c>
      <c r="E19" s="15" t="e">
        <f ca="1">_xludf.IFS(#REF!&lt;=1, 1,#REF!&lt;= 25, 2,#REF!&lt;= 50, 3,#REF!&lt;= 75, 4, TRUE, 5)</f>
        <v>#NAME?</v>
      </c>
      <c r="F19" s="15" t="e">
        <f ca="1">_xludf.IFS(#REF!&lt;=1, 1,#REF!&lt;= 3, 2,#REF!&lt;= 5, 3,#REF!&lt;= 7, 4, TRUE, 5)</f>
        <v>#NAME?</v>
      </c>
      <c r="G19" s="15" t="e">
        <f ca="1">_xludf.IFS(#REF!&lt;=100, 5,#REF!&lt;= 200, 4,#REF!&lt;= 350, 3,#REF!&lt;= 500, 2, TRUE, 1)</f>
        <v>#NAME?</v>
      </c>
      <c r="I19" s="13" t="s">
        <v>150</v>
      </c>
      <c r="J19" s="15" t="e">
        <f t="shared" ca="1" si="0"/>
        <v>#NAME?</v>
      </c>
      <c r="K19" s="15" t="e">
        <f t="shared" ca="1" si="1"/>
        <v>#NAME?</v>
      </c>
      <c r="L19" s="15" t="e">
        <f t="shared" ca="1" si="2"/>
        <v>#NAME?</v>
      </c>
      <c r="M19" s="15" t="e">
        <f t="shared" ca="1" si="3"/>
        <v>#NAME?</v>
      </c>
      <c r="N19" s="15" t="e">
        <f t="shared" ca="1" si="4"/>
        <v>#NAME?</v>
      </c>
      <c r="P19" s="54" t="s">
        <v>151</v>
      </c>
      <c r="Q19" s="15" t="e">
        <f t="shared" ca="1" si="5"/>
        <v>#NAME?</v>
      </c>
      <c r="R19" s="15" t="e">
        <f t="shared" ca="1" si="6"/>
        <v>#NAME?</v>
      </c>
      <c r="S19" s="15" t="e">
        <f t="shared" ca="1" si="7"/>
        <v>#NAME?</v>
      </c>
      <c r="T19" s="15" t="e">
        <f t="shared" ca="1" si="8"/>
        <v>#NAME?</v>
      </c>
      <c r="U19" s="15" t="e">
        <f t="shared" ca="1" si="9"/>
        <v>#NAME?</v>
      </c>
      <c r="V19" s="46"/>
      <c r="W19" s="13" t="s">
        <v>152</v>
      </c>
      <c r="X19" s="15" t="e">
        <f t="shared" ca="1" si="10"/>
        <v>#NAME?</v>
      </c>
      <c r="Y19" s="47" t="e">
        <f t="shared" ca="1" si="11"/>
        <v>#NAME?</v>
      </c>
      <c r="Z19" s="42"/>
      <c r="AA19" s="54" t="s">
        <v>153</v>
      </c>
      <c r="AB19" s="47" t="e">
        <f t="shared" ca="1" si="12"/>
        <v>#NAME?</v>
      </c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</row>
    <row r="20" spans="2:67" ht="13">
      <c r="B20" s="7" t="s">
        <v>154</v>
      </c>
      <c r="C20" s="15" t="e">
        <f ca="1">_xludf.IFS(#REF!&lt;=1, 1,#REF!&lt;= 25, 2,#REF!&lt;= 50, 3,#REF!&lt;= 75, 4, TRUE, 5)</f>
        <v>#NAME?</v>
      </c>
      <c r="D20" s="15" t="e">
        <f ca="1">_xludf.IFS(#REF!&lt;=1, 1,#REF!&lt;= 25, 2,#REF!&lt;= 50, 3,#REF!&lt;= 75, 4, TRUE, 5)</f>
        <v>#NAME?</v>
      </c>
      <c r="E20" s="15" t="e">
        <f ca="1">_xludf.IFS(#REF!&lt;=1, 1,#REF!&lt;= 25, 2,#REF!&lt;= 50, 3,#REF!&lt;= 75, 4, TRUE, 5)</f>
        <v>#NAME?</v>
      </c>
      <c r="F20" s="15" t="e">
        <f ca="1">_xludf.IFS(#REF!&lt;=1, 1,#REF!&lt;= 3, 2,#REF!&lt;= 5, 3,#REF!&lt;= 7, 4, TRUE, 5)</f>
        <v>#NAME?</v>
      </c>
      <c r="G20" s="15" t="e">
        <f ca="1">_xludf.IFS(#REF!&lt;=100, 5,#REF!&lt;= 200, 4,#REF!&lt;= 350, 3,#REF!&lt;= 500, 2, TRUE, 1)</f>
        <v>#NAME?</v>
      </c>
      <c r="I20" s="7" t="s">
        <v>155</v>
      </c>
      <c r="J20" s="15" t="e">
        <f t="shared" ca="1" si="0"/>
        <v>#NAME?</v>
      </c>
      <c r="K20" s="15" t="e">
        <f t="shared" ca="1" si="1"/>
        <v>#NAME?</v>
      </c>
      <c r="L20" s="15" t="e">
        <f t="shared" ca="1" si="2"/>
        <v>#NAME?</v>
      </c>
      <c r="M20" s="15" t="e">
        <f t="shared" ca="1" si="3"/>
        <v>#NAME?</v>
      </c>
      <c r="N20" s="15" t="e">
        <f t="shared" ca="1" si="4"/>
        <v>#NAME?</v>
      </c>
      <c r="P20" s="51" t="s">
        <v>156</v>
      </c>
      <c r="Q20" s="15" t="e">
        <f t="shared" ca="1" si="5"/>
        <v>#NAME?</v>
      </c>
      <c r="R20" s="15" t="e">
        <f t="shared" ca="1" si="6"/>
        <v>#NAME?</v>
      </c>
      <c r="S20" s="15" t="e">
        <f t="shared" ca="1" si="7"/>
        <v>#NAME?</v>
      </c>
      <c r="T20" s="15" t="e">
        <f t="shared" ca="1" si="8"/>
        <v>#NAME?</v>
      </c>
      <c r="U20" s="15" t="e">
        <f t="shared" ca="1" si="9"/>
        <v>#NAME?</v>
      </c>
      <c r="V20" s="46"/>
      <c r="W20" s="7" t="s">
        <v>157</v>
      </c>
      <c r="X20" s="15" t="e">
        <f t="shared" ca="1" si="10"/>
        <v>#NAME?</v>
      </c>
      <c r="Y20" s="47" t="e">
        <f t="shared" ca="1" si="11"/>
        <v>#NAME?</v>
      </c>
      <c r="Z20" s="42"/>
      <c r="AA20" s="51" t="s">
        <v>158</v>
      </c>
      <c r="AB20" s="47" t="e">
        <f t="shared" ca="1" si="12"/>
        <v>#NAME?</v>
      </c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</row>
    <row r="21" spans="2:67" ht="13">
      <c r="B21" s="7" t="s">
        <v>159</v>
      </c>
      <c r="C21" s="15" t="e">
        <f ca="1">_xludf.IFS(#REF!&lt;=1, 1,#REF!&lt;= 25, 2,#REF!&lt;= 50, 3,#REF!&lt;= 75, 4, TRUE, 5)</f>
        <v>#NAME?</v>
      </c>
      <c r="D21" s="15" t="e">
        <f ca="1">_xludf.IFS(#REF!&lt;=1, 1,#REF!&lt;= 25, 2,#REF!&lt;= 50, 3,#REF!&lt;= 75, 4, TRUE, 5)</f>
        <v>#NAME?</v>
      </c>
      <c r="E21" s="15" t="e">
        <f ca="1">_xludf.IFS(#REF!&lt;=1, 1,#REF!&lt;= 25, 2,#REF!&lt;= 50, 3,#REF!&lt;= 75, 4, TRUE, 5)</f>
        <v>#NAME?</v>
      </c>
      <c r="F21" s="15" t="e">
        <f ca="1">_xludf.IFS(#REF!&lt;=1, 1,#REF!&lt;= 3, 2,#REF!&lt;= 5, 3,#REF!&lt;= 7, 4, TRUE, 5)</f>
        <v>#NAME?</v>
      </c>
      <c r="G21" s="15" t="e">
        <f ca="1">_xludf.IFS(#REF!&lt;=100, 5,#REF!&lt;= 200, 4,#REF!&lt;= 350, 3,#REF!&lt;= 500, 2, TRUE, 1)</f>
        <v>#NAME?</v>
      </c>
      <c r="I21" s="7" t="s">
        <v>160</v>
      </c>
      <c r="J21" s="15" t="e">
        <f t="shared" ca="1" si="0"/>
        <v>#NAME?</v>
      </c>
      <c r="K21" s="15" t="e">
        <f t="shared" ca="1" si="1"/>
        <v>#NAME?</v>
      </c>
      <c r="L21" s="15" t="e">
        <f t="shared" ca="1" si="2"/>
        <v>#NAME?</v>
      </c>
      <c r="M21" s="15" t="e">
        <f t="shared" ca="1" si="3"/>
        <v>#NAME?</v>
      </c>
      <c r="N21" s="15" t="e">
        <f t="shared" ca="1" si="4"/>
        <v>#NAME?</v>
      </c>
      <c r="P21" s="51" t="s">
        <v>161</v>
      </c>
      <c r="Q21" s="15" t="e">
        <f t="shared" ca="1" si="5"/>
        <v>#NAME?</v>
      </c>
      <c r="R21" s="15" t="e">
        <f t="shared" ca="1" si="6"/>
        <v>#NAME?</v>
      </c>
      <c r="S21" s="15" t="e">
        <f t="shared" ca="1" si="7"/>
        <v>#NAME?</v>
      </c>
      <c r="T21" s="15" t="e">
        <f t="shared" ca="1" si="8"/>
        <v>#NAME?</v>
      </c>
      <c r="U21" s="15" t="e">
        <f t="shared" ca="1" si="9"/>
        <v>#NAME?</v>
      </c>
      <c r="V21" s="46"/>
      <c r="W21" s="7" t="s">
        <v>162</v>
      </c>
      <c r="X21" s="15" t="e">
        <f t="shared" ca="1" si="10"/>
        <v>#NAME?</v>
      </c>
      <c r="Y21" s="47" t="e">
        <f t="shared" ca="1" si="11"/>
        <v>#NAME?</v>
      </c>
      <c r="Z21" s="42"/>
      <c r="AA21" s="51" t="s">
        <v>163</v>
      </c>
      <c r="AB21" s="47" t="e">
        <f t="shared" ca="1" si="12"/>
        <v>#NAME?</v>
      </c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</row>
    <row r="22" spans="2:67" ht="13">
      <c r="B22" s="6" t="s">
        <v>164</v>
      </c>
      <c r="C22" s="15" t="e">
        <f ca="1">_xludf.IFS(#REF!&lt;=1, 1,#REF!&lt;= 25, 2,#REF!&lt;= 50, 3,#REF!&lt;= 75, 4, TRUE, 5)</f>
        <v>#NAME?</v>
      </c>
      <c r="D22" s="15" t="e">
        <f ca="1">_xludf.IFS(#REF!&lt;=1, 1,#REF!&lt;= 25, 2,#REF!&lt;= 50, 3,#REF!&lt;= 75, 4, TRUE, 5)</f>
        <v>#NAME?</v>
      </c>
      <c r="E22" s="15" t="e">
        <f ca="1">_xludf.IFS(#REF!&lt;=1, 1,#REF!&lt;= 25, 2,#REF!&lt;= 50, 3,#REF!&lt;= 75, 4, TRUE, 5)</f>
        <v>#NAME?</v>
      </c>
      <c r="F22" s="15" t="e">
        <f ca="1">_xludf.IFS(#REF!&lt;=1, 1,#REF!&lt;= 3, 2,#REF!&lt;= 5, 3,#REF!&lt;= 7, 4, TRUE, 5)</f>
        <v>#NAME?</v>
      </c>
      <c r="G22" s="15" t="e">
        <f ca="1">_xludf.IFS(#REF!&lt;=100, 5,#REF!&lt;= 200, 4,#REF!&lt;= 350, 3,#REF!&lt;= 500, 2, TRUE, 1)</f>
        <v>#NAME?</v>
      </c>
      <c r="I22" s="6" t="s">
        <v>165</v>
      </c>
      <c r="J22" s="15" t="e">
        <f t="shared" ca="1" si="0"/>
        <v>#NAME?</v>
      </c>
      <c r="K22" s="15" t="e">
        <f t="shared" ca="1" si="1"/>
        <v>#NAME?</v>
      </c>
      <c r="L22" s="15" t="e">
        <f t="shared" ca="1" si="2"/>
        <v>#NAME?</v>
      </c>
      <c r="M22" s="15" t="e">
        <f t="shared" ca="1" si="3"/>
        <v>#NAME?</v>
      </c>
      <c r="N22" s="15" t="e">
        <f t="shared" ca="1" si="4"/>
        <v>#NAME?</v>
      </c>
      <c r="P22" s="49" t="s">
        <v>166</v>
      </c>
      <c r="Q22" s="15" t="e">
        <f t="shared" ca="1" si="5"/>
        <v>#NAME?</v>
      </c>
      <c r="R22" s="15" t="e">
        <f t="shared" ca="1" si="6"/>
        <v>#NAME?</v>
      </c>
      <c r="S22" s="15" t="e">
        <f t="shared" ca="1" si="7"/>
        <v>#NAME?</v>
      </c>
      <c r="T22" s="15" t="e">
        <f t="shared" ca="1" si="8"/>
        <v>#NAME?</v>
      </c>
      <c r="U22" s="15" t="e">
        <f t="shared" ca="1" si="9"/>
        <v>#NAME?</v>
      </c>
      <c r="V22" s="46"/>
      <c r="W22" s="6" t="s">
        <v>167</v>
      </c>
      <c r="X22" s="15" t="e">
        <f t="shared" ca="1" si="10"/>
        <v>#NAME?</v>
      </c>
      <c r="Y22" s="47" t="e">
        <f t="shared" ca="1" si="11"/>
        <v>#NAME?</v>
      </c>
      <c r="Z22" s="42"/>
      <c r="AA22" s="49" t="s">
        <v>168</v>
      </c>
      <c r="AB22" s="47" t="e">
        <f t="shared" ca="1" si="12"/>
        <v>#NAME?</v>
      </c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</row>
    <row r="23" spans="2:67" ht="13">
      <c r="B23" s="7" t="s">
        <v>169</v>
      </c>
      <c r="C23" s="15" t="e">
        <f ca="1">_xludf.IFS(#REF!&lt;=1, 1,#REF!&lt;= 25, 2,#REF!&lt;= 50, 3,#REF!&lt;= 75, 4, TRUE, 5)</f>
        <v>#NAME?</v>
      </c>
      <c r="D23" s="15" t="e">
        <f ca="1">_xludf.IFS(#REF!&lt;=1, 1,#REF!&lt;= 25, 2,#REF!&lt;= 50, 3,#REF!&lt;= 75, 4, TRUE, 5)</f>
        <v>#NAME?</v>
      </c>
      <c r="E23" s="15" t="e">
        <f ca="1">_xludf.IFS(#REF!&lt;=1, 1,#REF!&lt;= 25, 2,#REF!&lt;= 50, 3,#REF!&lt;= 75, 4, TRUE, 5)</f>
        <v>#NAME?</v>
      </c>
      <c r="F23" s="15" t="e">
        <f ca="1">_xludf.IFS(#REF!&lt;=1, 1,#REF!&lt;= 3, 2,#REF!&lt;= 5, 3,#REF!&lt;= 7, 4, TRUE, 5)</f>
        <v>#NAME?</v>
      </c>
      <c r="G23" s="15" t="e">
        <f ca="1">_xludf.IFS(#REF!&lt;=100, 5,#REF!&lt;= 200, 4,#REF!&lt;= 350, 3,#REF!&lt;= 500, 2, TRUE, 1)</f>
        <v>#NAME?</v>
      </c>
      <c r="I23" s="7" t="s">
        <v>170</v>
      </c>
      <c r="J23" s="15" t="e">
        <f t="shared" ca="1" si="0"/>
        <v>#NAME?</v>
      </c>
      <c r="K23" s="15" t="e">
        <f t="shared" ca="1" si="1"/>
        <v>#NAME?</v>
      </c>
      <c r="L23" s="15" t="e">
        <f t="shared" ca="1" si="2"/>
        <v>#NAME?</v>
      </c>
      <c r="M23" s="15" t="e">
        <f t="shared" ca="1" si="3"/>
        <v>#NAME?</v>
      </c>
      <c r="N23" s="15" t="e">
        <f t="shared" ca="1" si="4"/>
        <v>#NAME?</v>
      </c>
      <c r="P23" s="51" t="s">
        <v>171</v>
      </c>
      <c r="Q23" s="15" t="e">
        <f t="shared" ca="1" si="5"/>
        <v>#NAME?</v>
      </c>
      <c r="R23" s="15" t="e">
        <f t="shared" ca="1" si="6"/>
        <v>#NAME?</v>
      </c>
      <c r="S23" s="15" t="e">
        <f t="shared" ca="1" si="7"/>
        <v>#NAME?</v>
      </c>
      <c r="T23" s="15" t="e">
        <f t="shared" ca="1" si="8"/>
        <v>#NAME?</v>
      </c>
      <c r="U23" s="15" t="e">
        <f t="shared" ca="1" si="9"/>
        <v>#NAME?</v>
      </c>
      <c r="V23" s="46"/>
      <c r="W23" s="7" t="s">
        <v>172</v>
      </c>
      <c r="X23" s="15" t="e">
        <f t="shared" ca="1" si="10"/>
        <v>#NAME?</v>
      </c>
      <c r="Y23" s="47" t="e">
        <f t="shared" ca="1" si="11"/>
        <v>#NAME?</v>
      </c>
      <c r="Z23" s="42"/>
      <c r="AA23" s="51" t="s">
        <v>173</v>
      </c>
      <c r="AB23" s="47" t="e">
        <f t="shared" ca="1" si="12"/>
        <v>#NAME?</v>
      </c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</row>
    <row r="24" spans="2:67" ht="13">
      <c r="B24" s="7" t="s">
        <v>174</v>
      </c>
      <c r="C24" s="15" t="e">
        <f ca="1">_xludf.IFS(#REF!&lt;=1, 1,#REF!&lt;= 25, 2,#REF!&lt;= 50, 3,#REF!&lt;= 75, 4, TRUE, 5)</f>
        <v>#NAME?</v>
      </c>
      <c r="D24" s="15" t="e">
        <f ca="1">_xludf.IFS(#REF!&lt;=1, 1,#REF!&lt;= 25, 2,#REF!&lt;= 50, 3,#REF!&lt;= 75, 4, TRUE, 5)</f>
        <v>#NAME?</v>
      </c>
      <c r="E24" s="15" t="e">
        <f ca="1">_xludf.IFS(#REF!&lt;=1, 1,#REF!&lt;= 25, 2,#REF!&lt;= 50, 3,#REF!&lt;= 75, 4, TRUE, 5)</f>
        <v>#NAME?</v>
      </c>
      <c r="F24" s="15" t="e">
        <f ca="1">_xludf.IFS(#REF!&lt;=1, 1,#REF!&lt;= 3, 2,#REF!&lt;= 5, 3,#REF!&lt;= 7, 4, TRUE, 5)</f>
        <v>#NAME?</v>
      </c>
      <c r="G24" s="15" t="e">
        <f ca="1">_xludf.IFS(#REF!&lt;=100, 5,#REF!&lt;= 200, 4,#REF!&lt;= 350, 3,#REF!&lt;= 500, 2, TRUE, 1)</f>
        <v>#NAME?</v>
      </c>
      <c r="I24" s="7" t="s">
        <v>175</v>
      </c>
      <c r="J24" s="15" t="e">
        <f t="shared" ca="1" si="0"/>
        <v>#NAME?</v>
      </c>
      <c r="K24" s="15" t="e">
        <f t="shared" ca="1" si="1"/>
        <v>#NAME?</v>
      </c>
      <c r="L24" s="15" t="e">
        <f t="shared" ca="1" si="2"/>
        <v>#NAME?</v>
      </c>
      <c r="M24" s="15" t="e">
        <f t="shared" ca="1" si="3"/>
        <v>#NAME?</v>
      </c>
      <c r="N24" s="15" t="e">
        <f t="shared" ca="1" si="4"/>
        <v>#NAME?</v>
      </c>
      <c r="P24" s="51" t="s">
        <v>176</v>
      </c>
      <c r="Q24" s="15" t="e">
        <f t="shared" ca="1" si="5"/>
        <v>#NAME?</v>
      </c>
      <c r="R24" s="15" t="e">
        <f t="shared" ca="1" si="6"/>
        <v>#NAME?</v>
      </c>
      <c r="S24" s="15" t="e">
        <f t="shared" ca="1" si="7"/>
        <v>#NAME?</v>
      </c>
      <c r="T24" s="15" t="e">
        <f t="shared" ca="1" si="8"/>
        <v>#NAME?</v>
      </c>
      <c r="U24" s="15" t="e">
        <f t="shared" ca="1" si="9"/>
        <v>#NAME?</v>
      </c>
      <c r="V24" s="46"/>
      <c r="W24" s="7" t="s">
        <v>177</v>
      </c>
      <c r="X24" s="15" t="e">
        <f t="shared" ca="1" si="10"/>
        <v>#NAME?</v>
      </c>
      <c r="Y24" s="47" t="e">
        <f t="shared" ca="1" si="11"/>
        <v>#NAME?</v>
      </c>
      <c r="Z24" s="42"/>
      <c r="AA24" s="51" t="s">
        <v>178</v>
      </c>
      <c r="AB24" s="47" t="e">
        <f t="shared" ca="1" si="12"/>
        <v>#NAME?</v>
      </c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</row>
    <row r="25" spans="2:67" ht="13">
      <c r="B25" s="7" t="s">
        <v>179</v>
      </c>
      <c r="C25" s="15" t="e">
        <f ca="1">_xludf.IFS(#REF!&lt;=1, 1,#REF!&lt;= 25, 2,#REF!&lt;= 50, 3,#REF!&lt;= 75, 4, TRUE, 5)</f>
        <v>#NAME?</v>
      </c>
      <c r="D25" s="15" t="e">
        <f ca="1">_xludf.IFS(#REF!&lt;=1, 1,#REF!&lt;= 25, 2,#REF!&lt;= 50, 3,#REF!&lt;= 75, 4, TRUE, 5)</f>
        <v>#NAME?</v>
      </c>
      <c r="E25" s="15" t="e">
        <f ca="1">_xludf.IFS(#REF!&lt;=1, 1,#REF!&lt;= 25, 2,#REF!&lt;= 50, 3,#REF!&lt;= 75, 4, TRUE, 5)</f>
        <v>#NAME?</v>
      </c>
      <c r="F25" s="15" t="e">
        <f ca="1">_xludf.IFS(#REF!&lt;=1, 1,#REF!&lt;= 3, 2,#REF!&lt;= 5, 3,#REF!&lt;= 7, 4, TRUE, 5)</f>
        <v>#NAME?</v>
      </c>
      <c r="G25" s="15" t="e">
        <f ca="1">_xludf.IFS(#REF!&lt;=100, 5,#REF!&lt;= 200, 4,#REF!&lt;= 350, 3,#REF!&lt;= 500, 2, TRUE, 1)</f>
        <v>#NAME?</v>
      </c>
      <c r="I25" s="7" t="s">
        <v>180</v>
      </c>
      <c r="J25" s="15" t="e">
        <f t="shared" ca="1" si="0"/>
        <v>#NAME?</v>
      </c>
      <c r="K25" s="15" t="e">
        <f t="shared" ca="1" si="1"/>
        <v>#NAME?</v>
      </c>
      <c r="L25" s="15" t="e">
        <f t="shared" ca="1" si="2"/>
        <v>#NAME?</v>
      </c>
      <c r="M25" s="15" t="e">
        <f t="shared" ca="1" si="3"/>
        <v>#NAME?</v>
      </c>
      <c r="N25" s="15" t="e">
        <f t="shared" ca="1" si="4"/>
        <v>#NAME?</v>
      </c>
      <c r="P25" s="51" t="s">
        <v>181</v>
      </c>
      <c r="Q25" s="15" t="e">
        <f t="shared" ca="1" si="5"/>
        <v>#NAME?</v>
      </c>
      <c r="R25" s="15" t="e">
        <f t="shared" ca="1" si="6"/>
        <v>#NAME?</v>
      </c>
      <c r="S25" s="15" t="e">
        <f t="shared" ca="1" si="7"/>
        <v>#NAME?</v>
      </c>
      <c r="T25" s="15" t="e">
        <f t="shared" ca="1" si="8"/>
        <v>#NAME?</v>
      </c>
      <c r="U25" s="15" t="e">
        <f t="shared" ca="1" si="9"/>
        <v>#NAME?</v>
      </c>
      <c r="V25" s="46"/>
      <c r="W25" s="7" t="s">
        <v>182</v>
      </c>
      <c r="X25" s="15" t="e">
        <f t="shared" ca="1" si="10"/>
        <v>#NAME?</v>
      </c>
      <c r="Y25" s="47" t="e">
        <f t="shared" ca="1" si="11"/>
        <v>#NAME?</v>
      </c>
      <c r="Z25" s="42"/>
      <c r="AA25" s="51" t="s">
        <v>183</v>
      </c>
      <c r="AB25" s="47" t="e">
        <f t="shared" ca="1" si="12"/>
        <v>#NAME?</v>
      </c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</row>
    <row r="26" spans="2:67" ht="13">
      <c r="B26" s="7" t="s">
        <v>184</v>
      </c>
      <c r="C26" s="15" t="e">
        <f ca="1">_xludf.IFS(#REF!&lt;=1, 1,#REF!&lt;= 25, 2,#REF!&lt;= 50, 3,#REF!&lt;= 75, 4, TRUE, 5)</f>
        <v>#NAME?</v>
      </c>
      <c r="D26" s="15" t="e">
        <f ca="1">_xludf.IFS(#REF!&lt;=1, 1,#REF!&lt;= 25, 2,#REF!&lt;= 50, 3,#REF!&lt;= 75, 4, TRUE, 5)</f>
        <v>#NAME?</v>
      </c>
      <c r="E26" s="15" t="e">
        <f ca="1">_xludf.IFS(#REF!&lt;=1, 1,#REF!&lt;= 25, 2,#REF!&lt;= 50, 3,#REF!&lt;= 75, 4, TRUE, 5)</f>
        <v>#NAME?</v>
      </c>
      <c r="F26" s="15" t="e">
        <f ca="1">_xludf.IFS(#REF!&lt;=1, 1,#REF!&lt;= 3, 2,#REF!&lt;= 5, 3,#REF!&lt;= 7, 4, TRUE, 5)</f>
        <v>#NAME?</v>
      </c>
      <c r="G26" s="15" t="e">
        <f ca="1">_xludf.IFS(#REF!&lt;=100, 5,#REF!&lt;= 200, 4,#REF!&lt;= 350, 3,#REF!&lt;= 500, 2, TRUE, 1)</f>
        <v>#NAME?</v>
      </c>
      <c r="I26" s="7" t="s">
        <v>185</v>
      </c>
      <c r="J26" s="15" t="e">
        <f t="shared" ca="1" si="0"/>
        <v>#NAME?</v>
      </c>
      <c r="K26" s="15" t="e">
        <f t="shared" ca="1" si="1"/>
        <v>#NAME?</v>
      </c>
      <c r="L26" s="15" t="e">
        <f t="shared" ca="1" si="2"/>
        <v>#NAME?</v>
      </c>
      <c r="M26" s="15" t="e">
        <f t="shared" ca="1" si="3"/>
        <v>#NAME?</v>
      </c>
      <c r="N26" s="15" t="e">
        <f t="shared" ca="1" si="4"/>
        <v>#NAME?</v>
      </c>
      <c r="P26" s="51" t="s">
        <v>186</v>
      </c>
      <c r="Q26" s="15" t="e">
        <f t="shared" ca="1" si="5"/>
        <v>#NAME?</v>
      </c>
      <c r="R26" s="15" t="e">
        <f t="shared" ca="1" si="6"/>
        <v>#NAME?</v>
      </c>
      <c r="S26" s="15" t="e">
        <f t="shared" ca="1" si="7"/>
        <v>#NAME?</v>
      </c>
      <c r="T26" s="15" t="e">
        <f t="shared" ca="1" si="8"/>
        <v>#NAME?</v>
      </c>
      <c r="U26" s="15" t="e">
        <f t="shared" ca="1" si="9"/>
        <v>#NAME?</v>
      </c>
      <c r="V26" s="46"/>
      <c r="W26" s="7" t="s">
        <v>187</v>
      </c>
      <c r="X26" s="15" t="e">
        <f t="shared" ca="1" si="10"/>
        <v>#NAME?</v>
      </c>
      <c r="Y26" s="47" t="e">
        <f t="shared" ca="1" si="11"/>
        <v>#NAME?</v>
      </c>
      <c r="Z26" s="42"/>
      <c r="AA26" s="51" t="s">
        <v>188</v>
      </c>
      <c r="AB26" s="47" t="e">
        <f t="shared" ca="1" si="12"/>
        <v>#NAME?</v>
      </c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</row>
    <row r="27" spans="2:67" ht="13">
      <c r="B27" s="6" t="s">
        <v>189</v>
      </c>
      <c r="C27" s="15" t="e">
        <f ca="1">_xludf.IFS(#REF!&lt;=1, 1,#REF!&lt;= 25, 2,#REF!&lt;= 50, 3,#REF!&lt;= 75, 4, TRUE, 5)</f>
        <v>#NAME?</v>
      </c>
      <c r="D27" s="15" t="e">
        <f ca="1">_xludf.IFS(#REF!&lt;=1, 1,#REF!&lt;= 25, 2,#REF!&lt;= 50, 3,#REF!&lt;= 75, 4, TRUE, 5)</f>
        <v>#NAME?</v>
      </c>
      <c r="E27" s="15" t="e">
        <f ca="1">_xludf.IFS(#REF!&lt;=1, 1,#REF!&lt;= 25, 2,#REF!&lt;= 50, 3,#REF!&lt;= 75, 4, TRUE, 5)</f>
        <v>#NAME?</v>
      </c>
      <c r="F27" s="15" t="e">
        <f ca="1">_xludf.IFS(#REF!&lt;=1, 1,#REF!&lt;= 3, 2,#REF!&lt;= 5, 3,#REF!&lt;= 7, 4, TRUE, 5)</f>
        <v>#NAME?</v>
      </c>
      <c r="G27" s="15" t="e">
        <f ca="1">_xludf.IFS(#REF!&lt;=100, 5,#REF!&lt;= 200, 4,#REF!&lt;= 350, 3,#REF!&lt;= 500, 2, TRUE, 1)</f>
        <v>#NAME?</v>
      </c>
      <c r="I27" s="6" t="s">
        <v>190</v>
      </c>
      <c r="J27" s="15" t="e">
        <f t="shared" ca="1" si="0"/>
        <v>#NAME?</v>
      </c>
      <c r="K27" s="15" t="e">
        <f t="shared" ca="1" si="1"/>
        <v>#NAME?</v>
      </c>
      <c r="L27" s="15" t="e">
        <f t="shared" ca="1" si="2"/>
        <v>#NAME?</v>
      </c>
      <c r="M27" s="15" t="e">
        <f t="shared" ca="1" si="3"/>
        <v>#NAME?</v>
      </c>
      <c r="N27" s="15" t="e">
        <f t="shared" ca="1" si="4"/>
        <v>#NAME?</v>
      </c>
      <c r="P27" s="49" t="s">
        <v>191</v>
      </c>
      <c r="Q27" s="15" t="e">
        <f t="shared" ca="1" si="5"/>
        <v>#NAME?</v>
      </c>
      <c r="R27" s="15" t="e">
        <f t="shared" ca="1" si="6"/>
        <v>#NAME?</v>
      </c>
      <c r="S27" s="15" t="e">
        <f t="shared" ca="1" si="7"/>
        <v>#NAME?</v>
      </c>
      <c r="T27" s="15" t="e">
        <f t="shared" ca="1" si="8"/>
        <v>#NAME?</v>
      </c>
      <c r="U27" s="15" t="e">
        <f t="shared" ca="1" si="9"/>
        <v>#NAME?</v>
      </c>
      <c r="V27" s="46"/>
      <c r="W27" s="6" t="s">
        <v>192</v>
      </c>
      <c r="X27" s="15" t="e">
        <f t="shared" ca="1" si="10"/>
        <v>#NAME?</v>
      </c>
      <c r="Y27" s="47" t="e">
        <f t="shared" ca="1" si="11"/>
        <v>#NAME?</v>
      </c>
      <c r="Z27" s="42"/>
      <c r="AA27" s="49" t="s">
        <v>193</v>
      </c>
      <c r="AB27" s="47" t="e">
        <f t="shared" ca="1" si="12"/>
        <v>#NAME?</v>
      </c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</row>
    <row r="28" spans="2:67" ht="13">
      <c r="B28" s="7" t="s">
        <v>194</v>
      </c>
      <c r="C28" s="15" t="e">
        <f ca="1">_xludf.IFS(#REF!&lt;=1, 1,#REF!&lt;= 25, 2,#REF!&lt;= 50, 3,#REF!&lt;= 75, 4, TRUE, 5)</f>
        <v>#NAME?</v>
      </c>
      <c r="D28" s="15" t="e">
        <f ca="1">_xludf.IFS(#REF!&lt;=1, 1,#REF!&lt;= 25, 2,#REF!&lt;= 50, 3,#REF!&lt;= 75, 4, TRUE, 5)</f>
        <v>#NAME?</v>
      </c>
      <c r="E28" s="15" t="e">
        <f ca="1">_xludf.IFS(#REF!&lt;=1, 1,#REF!&lt;= 25, 2,#REF!&lt;= 50, 3,#REF!&lt;= 75, 4, TRUE, 5)</f>
        <v>#NAME?</v>
      </c>
      <c r="F28" s="15" t="e">
        <f ca="1">_xludf.IFS(#REF!&lt;=1, 1,#REF!&lt;= 3, 2,#REF!&lt;= 5, 3,#REF!&lt;= 7, 4, TRUE, 5)</f>
        <v>#NAME?</v>
      </c>
      <c r="G28" s="15" t="e">
        <f ca="1">_xludf.IFS(#REF!&lt;=100, 5,#REF!&lt;= 200, 4,#REF!&lt;= 350, 3,#REF!&lt;= 500, 2, TRUE, 1)</f>
        <v>#NAME?</v>
      </c>
      <c r="I28" s="7" t="s">
        <v>195</v>
      </c>
      <c r="J28" s="15" t="e">
        <f t="shared" ca="1" si="0"/>
        <v>#NAME?</v>
      </c>
      <c r="K28" s="15" t="e">
        <f t="shared" ca="1" si="1"/>
        <v>#NAME?</v>
      </c>
      <c r="L28" s="15" t="e">
        <f t="shared" ca="1" si="2"/>
        <v>#NAME?</v>
      </c>
      <c r="M28" s="15" t="e">
        <f t="shared" ca="1" si="3"/>
        <v>#NAME?</v>
      </c>
      <c r="N28" s="15" t="e">
        <f t="shared" ca="1" si="4"/>
        <v>#NAME?</v>
      </c>
      <c r="P28" s="51" t="s">
        <v>196</v>
      </c>
      <c r="Q28" s="15" t="e">
        <f t="shared" ca="1" si="5"/>
        <v>#NAME?</v>
      </c>
      <c r="R28" s="15" t="e">
        <f t="shared" ca="1" si="6"/>
        <v>#NAME?</v>
      </c>
      <c r="S28" s="15" t="e">
        <f t="shared" ca="1" si="7"/>
        <v>#NAME?</v>
      </c>
      <c r="T28" s="15" t="e">
        <f t="shared" ca="1" si="8"/>
        <v>#NAME?</v>
      </c>
      <c r="U28" s="15" t="e">
        <f t="shared" ca="1" si="9"/>
        <v>#NAME?</v>
      </c>
      <c r="V28" s="46"/>
      <c r="W28" s="7" t="s">
        <v>197</v>
      </c>
      <c r="X28" s="15" t="e">
        <f t="shared" ca="1" si="10"/>
        <v>#NAME?</v>
      </c>
      <c r="Y28" s="47" t="e">
        <f t="shared" ca="1" si="11"/>
        <v>#NAME?</v>
      </c>
      <c r="Z28" s="42"/>
      <c r="AA28" s="51" t="s">
        <v>198</v>
      </c>
      <c r="AB28" s="47" t="e">
        <f t="shared" ca="1" si="12"/>
        <v>#NAME?</v>
      </c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</row>
    <row r="29" spans="2:67" ht="13">
      <c r="B29" s="7" t="s">
        <v>199</v>
      </c>
      <c r="C29" s="15" t="e">
        <f ca="1">_xludf.IFS(#REF!&lt;=1, 1,#REF!&lt;= 25, 2,#REF!&lt;= 50, 3,#REF!&lt;= 75, 4, TRUE, 5)</f>
        <v>#NAME?</v>
      </c>
      <c r="D29" s="15" t="e">
        <f ca="1">_xludf.IFS(#REF!&lt;=1, 1,#REF!&lt;= 25, 2,#REF!&lt;= 50, 3,#REF!&lt;= 75, 4, TRUE, 5)</f>
        <v>#NAME?</v>
      </c>
      <c r="E29" s="15" t="e">
        <f ca="1">_xludf.IFS(#REF!&lt;=1, 1,#REF!&lt;= 25, 2,#REF!&lt;= 50, 3,#REF!&lt;= 75, 4, TRUE, 5)</f>
        <v>#NAME?</v>
      </c>
      <c r="F29" s="15" t="e">
        <f ca="1">_xludf.IFS(#REF!&lt;=1, 1,#REF!&lt;= 3, 2,#REF!&lt;= 5, 3,#REF!&lt;= 7, 4, TRUE, 5)</f>
        <v>#NAME?</v>
      </c>
      <c r="G29" s="15" t="e">
        <f ca="1">_xludf.IFS(#REF!&lt;=100, 5,#REF!&lt;= 200, 4,#REF!&lt;= 350, 3,#REF!&lt;= 500, 2, TRUE, 1)</f>
        <v>#NAME?</v>
      </c>
      <c r="I29" s="7" t="s">
        <v>200</v>
      </c>
      <c r="J29" s="15" t="e">
        <f t="shared" ca="1" si="0"/>
        <v>#NAME?</v>
      </c>
      <c r="K29" s="15" t="e">
        <f t="shared" ca="1" si="1"/>
        <v>#NAME?</v>
      </c>
      <c r="L29" s="15" t="e">
        <f t="shared" ca="1" si="2"/>
        <v>#NAME?</v>
      </c>
      <c r="M29" s="15" t="e">
        <f t="shared" ca="1" si="3"/>
        <v>#NAME?</v>
      </c>
      <c r="N29" s="15" t="e">
        <f t="shared" ca="1" si="4"/>
        <v>#NAME?</v>
      </c>
      <c r="P29" s="51" t="s">
        <v>201</v>
      </c>
      <c r="Q29" s="15" t="e">
        <f t="shared" ca="1" si="5"/>
        <v>#NAME?</v>
      </c>
      <c r="R29" s="15" t="e">
        <f t="shared" ca="1" si="6"/>
        <v>#NAME?</v>
      </c>
      <c r="S29" s="15" t="e">
        <f t="shared" ca="1" si="7"/>
        <v>#NAME?</v>
      </c>
      <c r="T29" s="15" t="e">
        <f t="shared" ca="1" si="8"/>
        <v>#NAME?</v>
      </c>
      <c r="U29" s="15" t="e">
        <f t="shared" ca="1" si="9"/>
        <v>#NAME?</v>
      </c>
      <c r="V29" s="46"/>
      <c r="W29" s="7" t="s">
        <v>202</v>
      </c>
      <c r="X29" s="15" t="e">
        <f t="shared" ca="1" si="10"/>
        <v>#NAME?</v>
      </c>
      <c r="Y29" s="47" t="e">
        <f t="shared" ca="1" si="11"/>
        <v>#NAME?</v>
      </c>
      <c r="Z29" s="42"/>
      <c r="AA29" s="51" t="s">
        <v>203</v>
      </c>
      <c r="AB29" s="47" t="e">
        <f t="shared" ca="1" si="12"/>
        <v>#NAME?</v>
      </c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</row>
    <row r="31" spans="2:67" ht="12.5">
      <c r="B31" s="2" t="s">
        <v>69</v>
      </c>
      <c r="C31" s="2" t="e">
        <f t="shared" ref="C31:G31" ca="1" si="13">SUMPRODUCT(C6:C29^2)</f>
        <v>#NAME?</v>
      </c>
      <c r="D31" s="2" t="e">
        <f t="shared" ca="1" si="13"/>
        <v>#NAME?</v>
      </c>
      <c r="E31" s="2" t="e">
        <f t="shared" ca="1" si="13"/>
        <v>#NAME?</v>
      </c>
      <c r="F31" s="2" t="e">
        <f t="shared" ca="1" si="13"/>
        <v>#NAME?</v>
      </c>
      <c r="G31" s="2" t="e">
        <f t="shared" ca="1" si="13"/>
        <v>#NAME?</v>
      </c>
      <c r="P31" s="2" t="s">
        <v>70</v>
      </c>
      <c r="Q31" s="2" t="e">
        <f ca="1">MAX(Q6:Q29)</f>
        <v>#NAME?</v>
      </c>
      <c r="R31" s="2" t="e">
        <f ca="1">MIN(R5:R28)</f>
        <v>#NAME?</v>
      </c>
      <c r="S31" s="2" t="e">
        <f ca="1">MAX(S6:S29)</f>
        <v>#NAME?</v>
      </c>
      <c r="T31" s="2" t="e">
        <f ca="1">MAX(Q6:Q29)</f>
        <v>#NAME?</v>
      </c>
      <c r="U31" s="2" t="e">
        <f ca="1">MIN(U5:U28)</f>
        <v>#NAME?</v>
      </c>
    </row>
    <row r="32" spans="2:67" ht="12.5">
      <c r="B32" s="2" t="s">
        <v>69</v>
      </c>
      <c r="C32" s="2" t="e">
        <f t="shared" ref="C32:G32" ca="1" si="14">SQRT(SUMPRODUCT(C6:C29^2))</f>
        <v>#NAME?</v>
      </c>
      <c r="D32" s="2" t="e">
        <f t="shared" ca="1" si="14"/>
        <v>#NAME?</v>
      </c>
      <c r="E32" s="2" t="e">
        <f t="shared" ca="1" si="14"/>
        <v>#NAME?</v>
      </c>
      <c r="F32" s="2" t="e">
        <f t="shared" ca="1" si="14"/>
        <v>#NAME?</v>
      </c>
      <c r="G32" s="2" t="e">
        <f t="shared" ca="1" si="14"/>
        <v>#NAME?</v>
      </c>
      <c r="P32" s="2" t="s">
        <v>71</v>
      </c>
      <c r="Q32" s="2" t="e">
        <f ca="1">MIN(Q6:Q29)</f>
        <v>#NAME?</v>
      </c>
      <c r="R32" s="2" t="e">
        <f ca="1">MAX(R6:R29)</f>
        <v>#NAME?</v>
      </c>
      <c r="S32" s="2" t="e">
        <f t="shared" ref="S32:T32" ca="1" si="15">MIN(S6:S29)</f>
        <v>#NAME?</v>
      </c>
      <c r="T32" s="2" t="e">
        <f t="shared" ca="1" si="15"/>
        <v>#NAME?</v>
      </c>
      <c r="U32" s="2" t="e">
        <f ca="1">MAX(U6:U29)</f>
        <v>#NAME?</v>
      </c>
    </row>
  </sheetData>
  <mergeCells count="6">
    <mergeCell ref="AE8:AF8"/>
    <mergeCell ref="B2:G3"/>
    <mergeCell ref="I2:N3"/>
    <mergeCell ref="P2:U3"/>
    <mergeCell ref="W2:Y3"/>
    <mergeCell ref="AA2:AB3"/>
  </mergeCells>
  <hyperlinks>
    <hyperlink ref="B4" r:id="rId1" location="Tabel%20TKPI" xr:uid="{00000000-0004-0000-0400-000000000000}"/>
    <hyperlink ref="C4" r:id="rId2" location="Tabel%20TKPI" xr:uid="{00000000-0004-0000-0400-000001000000}"/>
    <hyperlink ref="D4" r:id="rId3" location="Tabel%20TKPI" xr:uid="{00000000-0004-0000-0400-000002000000}"/>
    <hyperlink ref="E4" r:id="rId4" location="Tabel%20TKPI" xr:uid="{00000000-0004-0000-0400-000003000000}"/>
    <hyperlink ref="F4" r:id="rId5" location="Tabel%20TKPI" xr:uid="{00000000-0004-0000-0400-000004000000}"/>
    <hyperlink ref="G4" r:id="rId6" location="Tabel%20TKPI" xr:uid="{00000000-0004-0000-0400-000005000000}"/>
    <hyperlink ref="I4" r:id="rId7" location="Tabel%20TKPI" xr:uid="{00000000-0004-0000-0400-000006000000}"/>
    <hyperlink ref="J4" r:id="rId8" location="Tabel%20TKPI" xr:uid="{00000000-0004-0000-0400-000007000000}"/>
    <hyperlink ref="K4" r:id="rId9" location="Tabel%20TKPI" xr:uid="{00000000-0004-0000-0400-000008000000}"/>
    <hyperlink ref="L4" r:id="rId10" location="Tabel%20TKPI" xr:uid="{00000000-0004-0000-0400-000009000000}"/>
    <hyperlink ref="M4" r:id="rId11" location="Tabel%20TKPI" xr:uid="{00000000-0004-0000-0400-00000A000000}"/>
    <hyperlink ref="N4" r:id="rId12" location="Tabel%20TKPI" xr:uid="{00000000-0004-0000-0400-00000B000000}"/>
    <hyperlink ref="P4" r:id="rId13" location="Tabel%20TKPI" xr:uid="{00000000-0004-0000-0400-00000C000000}"/>
    <hyperlink ref="Q4" r:id="rId14" location="Tabel%20TKPI" xr:uid="{00000000-0004-0000-0400-00000D000000}"/>
    <hyperlink ref="R4" r:id="rId15" location="Tabel%20TKPI" xr:uid="{00000000-0004-0000-0400-00000E000000}"/>
    <hyperlink ref="S4" r:id="rId16" location="Tabel%20TKPI" xr:uid="{00000000-0004-0000-0400-00000F000000}"/>
    <hyperlink ref="T4" r:id="rId17" location="Tabel%20TKPI" xr:uid="{00000000-0004-0000-0400-000010000000}"/>
    <hyperlink ref="U4" r:id="rId18" location="Tabel%20TKPI" xr:uid="{00000000-0004-0000-0400-000011000000}"/>
    <hyperlink ref="W4" r:id="rId19" location="Tabel%20TKPI" xr:uid="{00000000-0004-0000-0400-000012000000}"/>
    <hyperlink ref="AA4" r:id="rId20" location="Tabel%20TKPI" xr:uid="{00000000-0004-0000-0400-000013000000}"/>
    <hyperlink ref="B6" r:id="rId21" location="AndraFarm" xr:uid="{00000000-0004-0000-0400-000014000000}"/>
    <hyperlink ref="I6" r:id="rId22" location="AndraFarm" xr:uid="{00000000-0004-0000-0400-000015000000}"/>
    <hyperlink ref="P6" r:id="rId23" location="AndraFarm" xr:uid="{00000000-0004-0000-0400-000016000000}"/>
    <hyperlink ref="W6" r:id="rId24" location="AndraFarm" xr:uid="{00000000-0004-0000-0400-000017000000}"/>
    <hyperlink ref="AA6" r:id="rId25" location="AndraFarm" xr:uid="{00000000-0004-0000-0400-000018000000}"/>
    <hyperlink ref="B7" r:id="rId26" location="AndraFarm" xr:uid="{00000000-0004-0000-0400-000019000000}"/>
    <hyperlink ref="I7" r:id="rId27" location="AndraFarm" xr:uid="{00000000-0004-0000-0400-00001A000000}"/>
    <hyperlink ref="P7" r:id="rId28" location="AndraFarm" xr:uid="{00000000-0004-0000-0400-00001B000000}"/>
    <hyperlink ref="W7" r:id="rId29" location="AndraFarm" xr:uid="{00000000-0004-0000-0400-00001C000000}"/>
    <hyperlink ref="AA7" r:id="rId30" location="AndraFarm" xr:uid="{00000000-0004-0000-0400-00001D000000}"/>
    <hyperlink ref="B8" r:id="rId31" location="AndraFarm" xr:uid="{00000000-0004-0000-0400-00001E000000}"/>
    <hyperlink ref="I8" r:id="rId32" location="AndraFarm" xr:uid="{00000000-0004-0000-0400-00001F000000}"/>
    <hyperlink ref="P8" r:id="rId33" location="AndraFarm" xr:uid="{00000000-0004-0000-0400-000020000000}"/>
    <hyperlink ref="W8" r:id="rId34" location="AndraFarm" xr:uid="{00000000-0004-0000-0400-000021000000}"/>
    <hyperlink ref="AA8" r:id="rId35" location="AndraFarm" xr:uid="{00000000-0004-0000-0400-000022000000}"/>
    <hyperlink ref="B9" r:id="rId36" location="AndraFarm" xr:uid="{00000000-0004-0000-0400-000023000000}"/>
    <hyperlink ref="I9" r:id="rId37" location="AndraFarm" xr:uid="{00000000-0004-0000-0400-000024000000}"/>
    <hyperlink ref="P9" r:id="rId38" location="AndraFarm" xr:uid="{00000000-0004-0000-0400-000025000000}"/>
    <hyperlink ref="W9" r:id="rId39" location="AndraFarm" xr:uid="{00000000-0004-0000-0400-000026000000}"/>
    <hyperlink ref="AA9" r:id="rId40" location="AndraFarm" xr:uid="{00000000-0004-0000-0400-000027000000}"/>
    <hyperlink ref="B10" r:id="rId41" location="AndraFarm" xr:uid="{00000000-0004-0000-0400-000028000000}"/>
    <hyperlink ref="I10" r:id="rId42" location="AndraFarm" xr:uid="{00000000-0004-0000-0400-000029000000}"/>
    <hyperlink ref="P10" r:id="rId43" location="AndraFarm" xr:uid="{00000000-0004-0000-0400-00002A000000}"/>
    <hyperlink ref="W10" r:id="rId44" location="AndraFarm" xr:uid="{00000000-0004-0000-0400-00002B000000}"/>
    <hyperlink ref="AA10" r:id="rId45" location="AndraFarm" xr:uid="{00000000-0004-0000-0400-00002C000000}"/>
    <hyperlink ref="AE10" r:id="rId46" location="AndraFarm" display="https://www.andrafarm.com/_andra.php?_i=daftar-tkpi&amp;kmakan=BP036 - AndraFarm" xr:uid="{00000000-0004-0000-0400-00002D000000}"/>
    <hyperlink ref="B11" r:id="rId47" location="AndraFarm" xr:uid="{00000000-0004-0000-0400-00002E000000}"/>
    <hyperlink ref="I11" r:id="rId48" location="AndraFarm" xr:uid="{00000000-0004-0000-0400-00002F000000}"/>
    <hyperlink ref="P11" r:id="rId49" location="AndraFarm" xr:uid="{00000000-0004-0000-0400-000030000000}"/>
    <hyperlink ref="W11" r:id="rId50" location="AndraFarm" xr:uid="{00000000-0004-0000-0400-000031000000}"/>
    <hyperlink ref="AA11" r:id="rId51" location="AndraFarm" xr:uid="{00000000-0004-0000-0400-000032000000}"/>
    <hyperlink ref="AE11" r:id="rId52" location="AndraFarm" display="https://www.andrafarm.com/_andra.php?_i=daftar-tkpi&amp;kmakan=BP040 - AndraFarm" xr:uid="{00000000-0004-0000-0400-000033000000}"/>
    <hyperlink ref="B12" r:id="rId53" location="AndraFarm" xr:uid="{00000000-0004-0000-0400-000034000000}"/>
    <hyperlink ref="I12" r:id="rId54" location="AndraFarm" xr:uid="{00000000-0004-0000-0400-000035000000}"/>
    <hyperlink ref="P12" r:id="rId55" location="AndraFarm" xr:uid="{00000000-0004-0000-0400-000036000000}"/>
    <hyperlink ref="W12" r:id="rId56" location="AndraFarm" xr:uid="{00000000-0004-0000-0400-000037000000}"/>
    <hyperlink ref="AA12" r:id="rId57" location="AndraFarm" xr:uid="{00000000-0004-0000-0400-000038000000}"/>
    <hyperlink ref="AE12" r:id="rId58" location="AndraFarm" display="https://www.andrafarm.com/_andra.php?_i=daftar-tkpi&amp;kmakan=BP045 - AndraFarm" xr:uid="{00000000-0004-0000-0400-000039000000}"/>
    <hyperlink ref="B13" r:id="rId59" location="AndraFarm" xr:uid="{00000000-0004-0000-0400-00003A000000}"/>
    <hyperlink ref="I13" r:id="rId60" location="AndraFarm" xr:uid="{00000000-0004-0000-0400-00003B000000}"/>
    <hyperlink ref="P13" r:id="rId61" location="AndraFarm" xr:uid="{00000000-0004-0000-0400-00003C000000}"/>
    <hyperlink ref="W13" r:id="rId62" location="AndraFarm" xr:uid="{00000000-0004-0000-0400-00003D000000}"/>
    <hyperlink ref="AA13" r:id="rId63" location="AndraFarm" xr:uid="{00000000-0004-0000-0400-00003E000000}"/>
    <hyperlink ref="AE13" r:id="rId64" location="AndraFarm" display="https://www.andrafarm.com/_andra.php?_i=daftar-tkpi&amp;kmakan=CP005 - AndraFarm" xr:uid="{00000000-0004-0000-0400-00003F000000}"/>
    <hyperlink ref="B14" r:id="rId65" location="AndraFarm" xr:uid="{00000000-0004-0000-0400-000040000000}"/>
    <hyperlink ref="I14" r:id="rId66" location="AndraFarm" xr:uid="{00000000-0004-0000-0400-000041000000}"/>
    <hyperlink ref="P14" r:id="rId67" location="AndraFarm" xr:uid="{00000000-0004-0000-0400-000042000000}"/>
    <hyperlink ref="W14" r:id="rId68" location="AndraFarm" xr:uid="{00000000-0004-0000-0400-000043000000}"/>
    <hyperlink ref="AA14" r:id="rId69" location="AndraFarm" xr:uid="{00000000-0004-0000-0400-000044000000}"/>
    <hyperlink ref="B15" r:id="rId70" location="AndraFarm" xr:uid="{00000000-0004-0000-0400-000045000000}"/>
    <hyperlink ref="I15" r:id="rId71" location="AndraFarm" xr:uid="{00000000-0004-0000-0400-000046000000}"/>
    <hyperlink ref="P15" r:id="rId72" location="AndraFarm" xr:uid="{00000000-0004-0000-0400-000047000000}"/>
    <hyperlink ref="W15" r:id="rId73" location="AndraFarm" xr:uid="{00000000-0004-0000-0400-000048000000}"/>
    <hyperlink ref="AA15" r:id="rId74" location="AndraFarm" xr:uid="{00000000-0004-0000-0400-000049000000}"/>
    <hyperlink ref="B16" r:id="rId75" location="AndraFarm" xr:uid="{00000000-0004-0000-0400-00004A000000}"/>
    <hyperlink ref="I16" r:id="rId76" location="AndraFarm" xr:uid="{00000000-0004-0000-0400-00004B000000}"/>
    <hyperlink ref="P16" r:id="rId77" location="AndraFarm" xr:uid="{00000000-0004-0000-0400-00004C000000}"/>
    <hyperlink ref="W16" r:id="rId78" location="AndraFarm" xr:uid="{00000000-0004-0000-0400-00004D000000}"/>
    <hyperlink ref="AA16" r:id="rId79" location="AndraFarm" xr:uid="{00000000-0004-0000-0400-00004E000000}"/>
    <hyperlink ref="B17" r:id="rId80" location="AndraFarm" xr:uid="{00000000-0004-0000-0400-00004F000000}"/>
    <hyperlink ref="I17" r:id="rId81" location="AndraFarm" xr:uid="{00000000-0004-0000-0400-000050000000}"/>
    <hyperlink ref="P17" r:id="rId82" location="AndraFarm" xr:uid="{00000000-0004-0000-0400-000051000000}"/>
    <hyperlink ref="W17" r:id="rId83" location="AndraFarm" xr:uid="{00000000-0004-0000-0400-000052000000}"/>
    <hyperlink ref="AA17" r:id="rId84" location="AndraFarm" xr:uid="{00000000-0004-0000-0400-000053000000}"/>
    <hyperlink ref="B18" r:id="rId85" location="AndraFarm" xr:uid="{00000000-0004-0000-0400-000054000000}"/>
    <hyperlink ref="I18" r:id="rId86" location="AndraFarm" xr:uid="{00000000-0004-0000-0400-000055000000}"/>
    <hyperlink ref="P18" r:id="rId87" location="AndraFarm" xr:uid="{00000000-0004-0000-0400-000056000000}"/>
    <hyperlink ref="W18" r:id="rId88" location="AndraFarm" xr:uid="{00000000-0004-0000-0400-000057000000}"/>
    <hyperlink ref="AA18" r:id="rId89" location="AndraFarm" xr:uid="{00000000-0004-0000-0400-000058000000}"/>
    <hyperlink ref="B19" r:id="rId90" location="AndraFarm" xr:uid="{00000000-0004-0000-0400-000059000000}"/>
    <hyperlink ref="I19" r:id="rId91" location="AndraFarm" xr:uid="{00000000-0004-0000-0400-00005A000000}"/>
    <hyperlink ref="P19" r:id="rId92" location="AndraFarm" xr:uid="{00000000-0004-0000-0400-00005B000000}"/>
    <hyperlink ref="W19" r:id="rId93" location="AndraFarm" xr:uid="{00000000-0004-0000-0400-00005C000000}"/>
    <hyperlink ref="AA19" r:id="rId94" location="AndraFarm" xr:uid="{00000000-0004-0000-0400-00005D000000}"/>
    <hyperlink ref="B20" r:id="rId95" location="AndraFarm" xr:uid="{00000000-0004-0000-0400-00005E000000}"/>
    <hyperlink ref="I20" r:id="rId96" location="AndraFarm" xr:uid="{00000000-0004-0000-0400-00005F000000}"/>
    <hyperlink ref="P20" r:id="rId97" location="AndraFarm" xr:uid="{00000000-0004-0000-0400-000060000000}"/>
    <hyperlink ref="W20" r:id="rId98" location="AndraFarm" xr:uid="{00000000-0004-0000-0400-000061000000}"/>
    <hyperlink ref="AA20" r:id="rId99" location="AndraFarm" xr:uid="{00000000-0004-0000-0400-000062000000}"/>
    <hyperlink ref="B21" r:id="rId100" location="AndraFarm" xr:uid="{00000000-0004-0000-0400-000063000000}"/>
    <hyperlink ref="I21" r:id="rId101" location="AndraFarm" xr:uid="{00000000-0004-0000-0400-000064000000}"/>
    <hyperlink ref="P21" r:id="rId102" location="AndraFarm" xr:uid="{00000000-0004-0000-0400-000065000000}"/>
    <hyperlink ref="W21" r:id="rId103" location="AndraFarm" xr:uid="{00000000-0004-0000-0400-000066000000}"/>
    <hyperlink ref="AA21" r:id="rId104" location="AndraFarm" xr:uid="{00000000-0004-0000-0400-000067000000}"/>
    <hyperlink ref="B22" r:id="rId105" location="AndraFarm" xr:uid="{00000000-0004-0000-0400-000068000000}"/>
    <hyperlink ref="I22" r:id="rId106" location="AndraFarm" xr:uid="{00000000-0004-0000-0400-000069000000}"/>
    <hyperlink ref="P22" r:id="rId107" location="AndraFarm" xr:uid="{00000000-0004-0000-0400-00006A000000}"/>
    <hyperlink ref="W22" r:id="rId108" location="AndraFarm" xr:uid="{00000000-0004-0000-0400-00006B000000}"/>
    <hyperlink ref="AA22" r:id="rId109" location="AndraFarm" xr:uid="{00000000-0004-0000-0400-00006C000000}"/>
    <hyperlink ref="B23" r:id="rId110" location="AndraFarm" xr:uid="{00000000-0004-0000-0400-00006D000000}"/>
    <hyperlink ref="I23" r:id="rId111" location="AndraFarm" xr:uid="{00000000-0004-0000-0400-00006E000000}"/>
    <hyperlink ref="P23" r:id="rId112" location="AndraFarm" xr:uid="{00000000-0004-0000-0400-00006F000000}"/>
    <hyperlink ref="W23" r:id="rId113" location="AndraFarm" xr:uid="{00000000-0004-0000-0400-000070000000}"/>
    <hyperlink ref="AA23" r:id="rId114" location="AndraFarm" xr:uid="{00000000-0004-0000-0400-000071000000}"/>
    <hyperlink ref="B24" r:id="rId115" location="AndraFarm" xr:uid="{00000000-0004-0000-0400-000072000000}"/>
    <hyperlink ref="I24" r:id="rId116" location="AndraFarm" xr:uid="{00000000-0004-0000-0400-000073000000}"/>
    <hyperlink ref="P24" r:id="rId117" location="AndraFarm" xr:uid="{00000000-0004-0000-0400-000074000000}"/>
    <hyperlink ref="W24" r:id="rId118" location="AndraFarm" xr:uid="{00000000-0004-0000-0400-000075000000}"/>
    <hyperlink ref="AA24" r:id="rId119" location="AndraFarm" xr:uid="{00000000-0004-0000-0400-000076000000}"/>
    <hyperlink ref="B25" r:id="rId120" location="AndraFarm" xr:uid="{00000000-0004-0000-0400-000077000000}"/>
    <hyperlink ref="I25" r:id="rId121" location="AndraFarm" xr:uid="{00000000-0004-0000-0400-000078000000}"/>
    <hyperlink ref="P25" r:id="rId122" location="AndraFarm" xr:uid="{00000000-0004-0000-0400-000079000000}"/>
    <hyperlink ref="W25" r:id="rId123" location="AndraFarm" xr:uid="{00000000-0004-0000-0400-00007A000000}"/>
    <hyperlink ref="AA25" r:id="rId124" location="AndraFarm" xr:uid="{00000000-0004-0000-0400-00007B000000}"/>
    <hyperlink ref="B26" r:id="rId125" location="AndraFarm" xr:uid="{00000000-0004-0000-0400-00007C000000}"/>
    <hyperlink ref="I26" r:id="rId126" location="AndraFarm" xr:uid="{00000000-0004-0000-0400-00007D000000}"/>
    <hyperlink ref="P26" r:id="rId127" location="AndraFarm" xr:uid="{00000000-0004-0000-0400-00007E000000}"/>
    <hyperlink ref="W26" r:id="rId128" location="AndraFarm" xr:uid="{00000000-0004-0000-0400-00007F000000}"/>
    <hyperlink ref="AA26" r:id="rId129" location="AndraFarm" xr:uid="{00000000-0004-0000-0400-000080000000}"/>
    <hyperlink ref="B27" r:id="rId130" location="AndraFarm" xr:uid="{00000000-0004-0000-0400-000081000000}"/>
    <hyperlink ref="I27" r:id="rId131" location="AndraFarm" xr:uid="{00000000-0004-0000-0400-000082000000}"/>
    <hyperlink ref="P27" r:id="rId132" location="AndraFarm" xr:uid="{00000000-0004-0000-0400-000083000000}"/>
    <hyperlink ref="W27" r:id="rId133" location="AndraFarm" xr:uid="{00000000-0004-0000-0400-000084000000}"/>
    <hyperlink ref="AA27" r:id="rId134" location="AndraFarm" xr:uid="{00000000-0004-0000-0400-000085000000}"/>
    <hyperlink ref="B28" r:id="rId135" location="AndraFarm" xr:uid="{00000000-0004-0000-0400-000086000000}"/>
    <hyperlink ref="I28" r:id="rId136" location="AndraFarm" xr:uid="{00000000-0004-0000-0400-000087000000}"/>
    <hyperlink ref="P28" r:id="rId137" location="AndraFarm" xr:uid="{00000000-0004-0000-0400-000088000000}"/>
    <hyperlink ref="W28" r:id="rId138" location="AndraFarm" xr:uid="{00000000-0004-0000-0400-000089000000}"/>
    <hyperlink ref="AA28" r:id="rId139" location="AndraFarm" xr:uid="{00000000-0004-0000-0400-00008A000000}"/>
    <hyperlink ref="B29" r:id="rId140" location="AndraFarm" xr:uid="{00000000-0004-0000-0400-00008B000000}"/>
    <hyperlink ref="I29" r:id="rId141" location="AndraFarm" xr:uid="{00000000-0004-0000-0400-00008C000000}"/>
    <hyperlink ref="P29" r:id="rId142" location="AndraFarm" xr:uid="{00000000-0004-0000-0400-00008D000000}"/>
    <hyperlink ref="W29" r:id="rId143" location="AndraFarm" xr:uid="{00000000-0004-0000-0400-00008E000000}"/>
    <hyperlink ref="AA29" r:id="rId144" location="AndraFarm" xr:uid="{00000000-0004-0000-0400-00008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showGridLines="0" workbookViewId="0"/>
  </sheetViews>
  <sheetFormatPr defaultColWidth="12.6328125" defaultRowHeight="15.75" customHeight="1"/>
  <cols>
    <col min="1" max="1" width="7.90625" customWidth="1"/>
    <col min="2" max="2" width="19" customWidth="1"/>
    <col min="3" max="3" width="15.26953125" customWidth="1"/>
  </cols>
  <sheetData>
    <row r="1" spans="1:26" ht="15.75" customHeight="1">
      <c r="A1" s="66" t="s">
        <v>204</v>
      </c>
      <c r="B1" s="61"/>
      <c r="C1" s="61"/>
      <c r="D1" s="61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>
      <c r="A2" s="61"/>
      <c r="B2" s="61"/>
      <c r="C2" s="61"/>
      <c r="D2" s="61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>
      <c r="A3" s="58" t="s">
        <v>205</v>
      </c>
      <c r="B3" s="58" t="s">
        <v>206</v>
      </c>
      <c r="C3" s="58" t="s">
        <v>207</v>
      </c>
      <c r="D3" s="58" t="s">
        <v>208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>
      <c r="A4" s="58">
        <v>1</v>
      </c>
      <c r="B4" s="58" t="s">
        <v>209</v>
      </c>
      <c r="C4" s="58" t="s">
        <v>210</v>
      </c>
      <c r="D4" s="58" t="s">
        <v>211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58">
        <v>2</v>
      </c>
      <c r="B5" s="58" t="s">
        <v>212</v>
      </c>
      <c r="C5" s="58" t="s">
        <v>213</v>
      </c>
      <c r="D5" s="58" t="s">
        <v>211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58">
        <v>3</v>
      </c>
      <c r="B6" s="58" t="s">
        <v>214</v>
      </c>
      <c r="C6" s="58" t="s">
        <v>213</v>
      </c>
      <c r="D6" s="58" t="s">
        <v>211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58">
        <v>4</v>
      </c>
      <c r="B7" s="58" t="s">
        <v>215</v>
      </c>
      <c r="C7" s="58" t="s">
        <v>216</v>
      </c>
      <c r="D7" s="58" t="s">
        <v>211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58">
        <v>5</v>
      </c>
      <c r="B8" s="58" t="s">
        <v>217</v>
      </c>
      <c r="C8" s="58" t="s">
        <v>218</v>
      </c>
      <c r="D8" s="58" t="s">
        <v>211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58">
        <v>6</v>
      </c>
      <c r="B9" s="58" t="s">
        <v>219</v>
      </c>
      <c r="C9" s="58" t="s">
        <v>220</v>
      </c>
      <c r="D9" s="58" t="s">
        <v>211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8">
        <v>7</v>
      </c>
      <c r="B10" s="67" t="s">
        <v>221</v>
      </c>
      <c r="C10" s="68"/>
      <c r="D10" s="58" t="s">
        <v>222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.75" customHeight="1">
      <c r="A13" s="59" t="s">
        <v>223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59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60" t="s">
        <v>224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59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59" t="s">
        <v>225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5.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5.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5.5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5.5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5.5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5.5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5.5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5.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5.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5.5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5.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5.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5.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5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5.5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5.5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5.5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5.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5.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5.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5.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5.5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5.5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5.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5.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5.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5.5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5.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5.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5.5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5.5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5.5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5.5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5.5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5.5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5.5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5.5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5.5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5.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5.5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5.5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5.5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5.5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5.5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5.5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5.5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5.5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5.5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5.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5.5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5.5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5.5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5.5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5.5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5.5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5.5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5.5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5.5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5.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5.5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5.5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5.5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5.5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5.5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5.5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5.5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5.5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5.5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5.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5.5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5.5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5.5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5.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5.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5.5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5.5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5.5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5.5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5.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5.5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5.5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5.5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5.5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5.5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5.5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5.5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5.5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5.5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5.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5.5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5.5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5.5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5.5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5.5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5.5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5.5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5.5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5.5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5.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5.5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5.5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5.5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5.5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5.5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5.5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5.5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5.5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5.5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5.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5.5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5.5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5.5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5.5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5.5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5.5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5.5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5.5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5.5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5.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5.5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5.5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5.5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5.5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5.5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5.5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5.5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5.5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5.5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5.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5.5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5.5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5.5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5.5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5.5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5.5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5.5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5.5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5.5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5.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5.5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5.5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5.5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5.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5.5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5.5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5.5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5.5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5.5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5.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5.5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5.5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5.5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5.5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5.5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5.5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5.5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5.5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5.5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5.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5.5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5.5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5.5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5.5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5.5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5.5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5.5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5.5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5.5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5.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5.5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5.5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5.5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5.5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5.5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5.5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5.5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5.5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5.5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5.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5.5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5.5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5.5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5.5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5.5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5.5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5.5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5.5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5.5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5.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5.5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5.5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5.5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5.5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5.5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5.5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5.5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5.5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5.5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5.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5.5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5.5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5.5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5.5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5.5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5.5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5.5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5.5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5.5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5.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5.5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5.5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5.5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5.5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5.5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5.5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5.5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5.5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5.5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5.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5.5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5.5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5.5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5.5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5.5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5.5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5.5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5.5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5.5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5.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5.5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5.5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5.5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5.5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5.5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5.5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5.5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5.5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5.5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5.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5.5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5.5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5.5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5.5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5.5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5.5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5.5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5.5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5.5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5.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5.5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5.5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5.5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5.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5.5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5.5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5.5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5.5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5.5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5.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5.5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5.5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5.5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5.5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5.5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5.5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5.5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5.5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5.5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5.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5.5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5.5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5.5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5.5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5.5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5.5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5.5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5.5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5.5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5.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5.5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5.5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5.5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5.5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5.5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5.5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5.5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5.5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5.5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5.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5.5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5.5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5.5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5.5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5.5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5.5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5.5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5.5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5.5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5.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5.5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5.5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5.5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5.5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5.5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5.5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5.5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5.5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5.5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5.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5.5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5.5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5.5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5.5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5.5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5.5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5.5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5.5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5.5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5.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5.5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5.5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5.5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5.5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5.5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5.5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5.5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5.5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5.5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5.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5.5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5.5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5.5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5.5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5.5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5.5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5.5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5.5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5.5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5.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5.5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5.5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5.5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5.5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5.5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5.5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5.5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5.5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5.5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5.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5.5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5.5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5.5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5.5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5.5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5.5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5.5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5.5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5.5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5.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5.5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5.5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5.5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5.5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5.5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5.5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5.5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5.5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5.5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5.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5.5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5.5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5.5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5.5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5.5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5.5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5.5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5.5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5.5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5.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5.5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5.5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5.5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5.5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5.5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5.5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5.5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5.5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5.5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5.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5.5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5.5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5.5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5.5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5.5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5.5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5.5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5.5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5.5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5.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5.5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5.5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5.5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5.5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5.5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5.5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5.5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5.5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5.5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5.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5.5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5.5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5.5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5.5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5.5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5.5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5.5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5.5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5.5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5.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5.5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5.5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5.5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5.5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5.5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5.5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5.5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5.5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5.5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5.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5.5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5.5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5.5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5.5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5.5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5.5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5.5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5.5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5.5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5.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5.5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5.5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5.5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5.5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5.5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5.5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5.5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5.5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5.5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5.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5.5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5.5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5.5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5.5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5.5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5.5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5.5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5.5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5.5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5.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5.5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5.5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5.5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5.5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5.5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5.5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5.5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5.5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5.5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5.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5.5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5.5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5.5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5.5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5.5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5.5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5.5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5.5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5.5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5.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5.5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5.5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5.5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5.5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5.5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5.5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5.5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5.5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5.5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5.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5.5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5.5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5.5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5.5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5.5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5.5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5.5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5.5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5.5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5.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5.5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5.5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5.5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5.5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5.5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5.5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5.5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5.5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5.5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5.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5.5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5.5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5.5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5.5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5.5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5.5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5.5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5.5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5.5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5.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5.5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5.5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5.5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5.5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5.5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5.5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5.5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5.5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5.5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5.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5.5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5.5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5.5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5.5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5.5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5.5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5.5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5.5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5.5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5.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5.5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5.5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5.5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5.5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5.5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5.5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5.5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5.5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5.5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5.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5.5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5.5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5.5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5.5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5.5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5.5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5.5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5.5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5.5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5.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5.5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5.5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5.5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5.5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5.5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5.5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5.5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5.5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5.5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5.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5.5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5.5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5.5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5.5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5.5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5.5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5.5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5.5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5.5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5.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5.5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5.5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5.5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5.5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5.5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5.5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5.5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5.5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5.5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5.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5.5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5.5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5.5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5.5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5.5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5.5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5.5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5.5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5.5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5.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5.5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5.5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5.5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5.5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5.5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5.5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5.5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5.5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5.5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5.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5.5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5.5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5.5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5.5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5.5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5.5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5.5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5.5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5.5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5.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5.5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5.5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5.5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5.5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5.5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5.5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5.5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5.5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5.5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5.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5.5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5.5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5.5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5.5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5.5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5.5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5.5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5.5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5.5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5.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5.5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5.5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5.5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5.5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5.5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5.5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5.5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5.5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5.5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5.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5.5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5.5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5.5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5.5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5.5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5.5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5.5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5.5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5.5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5.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5.5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5.5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5.5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5.5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5.5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5.5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5.5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5.5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5.5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5.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5.5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5.5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5.5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5.5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5.5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5.5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5.5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5.5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5.5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5.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5.5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5.5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5.5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5.5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5.5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5.5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5.5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5.5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5.5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5.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5.5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5.5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5.5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5.5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5.5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5.5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5.5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5.5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5.5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5.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5.5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5.5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5.5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5.5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5.5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5.5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5.5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5.5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5.5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5.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5.5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5.5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5.5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5.5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5.5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5.5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5.5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5.5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5.5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5.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5.5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5.5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5.5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5.5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5.5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5.5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5.5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5.5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5.5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5.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5.5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5.5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5.5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5.5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5.5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5.5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5.5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5.5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5.5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5.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5.5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5.5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5.5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5.5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5.5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5.5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5.5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5.5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5.5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5.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5.5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5.5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5.5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5.5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5.5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5.5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5.5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5.5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5.5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5.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5.5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5.5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5.5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5.5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5.5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5.5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5.5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5.5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5.5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5.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5.5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5.5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5.5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5.5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5.5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5.5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5.5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5.5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5.5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5.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5.5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5.5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5.5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5.5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5.5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5.5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5.5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5.5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5.5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5.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5.5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5.5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5.5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5.5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5.5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5.5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5.5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5.5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5.5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5.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5.5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5.5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5.5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5.5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5.5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5.5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5.5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5.5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5.5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5.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5.5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5.5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5.5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5.5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5.5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5.5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5.5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5.5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5.5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5.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5.5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5.5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5.5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5.5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5.5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5.5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5.5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5.5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5.5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5.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5.5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5.5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5.5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5.5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5.5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5.5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5.5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5.5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5.5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5.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5.5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5.5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5.5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5.5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5.5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5.5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5.5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5.5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5.5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5.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5.5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5.5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5.5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5.5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5.5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5.5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5.5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5.5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5.5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5.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5.5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5.5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5.5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5.5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5.5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5.5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5.5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5.5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5.5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5.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5.5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5.5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5.5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5.5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5.5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5.5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5.5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5.5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5.5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5.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5.5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5.5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5.5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5.5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5.5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5.5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5.5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5.5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5.5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5.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5.5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5.5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5.5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5.5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5.5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5.5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5.5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5.5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5.5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5.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5.5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5.5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5.5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5.5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5.5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5.5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5.5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5.5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5.5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5.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5.5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5.5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5.5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5.5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5.5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5.5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5.5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5.5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5.5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5.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5.5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5.5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5.5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5.5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5.5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5.5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5.5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5.5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5.5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5.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5.5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5.5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5.5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5.5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5.5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5.5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5.5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5.5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5.5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5.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5.5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5.5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5.5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5.5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5.5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5.5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5.5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5.5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5.5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5.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5.5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5.5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5.5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5.5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5.5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5.5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5.5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5.5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5.5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5.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5.5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5.5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5.5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5.5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5.5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5.5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5.5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5.5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5.5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15.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15.5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15.5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15.5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15.5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</sheetData>
  <mergeCells count="2">
    <mergeCell ref="A1:D2"/>
    <mergeCell ref="B10:C10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data clean</vt:lpstr>
      <vt:lpstr>Copy of cakaran</vt:lpstr>
      <vt:lpstr>Data Inventaris Radio Hytera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MyBook PRO K5</cp:lastModifiedBy>
  <dcterms:modified xsi:type="dcterms:W3CDTF">2026-06-05T03:05:53Z</dcterms:modified>
</cp:coreProperties>
</file>